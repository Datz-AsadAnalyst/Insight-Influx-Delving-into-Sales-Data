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a\"/>
    </mc:Choice>
  </mc:AlternateContent>
  <xr:revisionPtr revIDLastSave="0" documentId="8_{56D7E4AC-2A64-4F41-B6EF-7AB072C8956E}" xr6:coauthVersionLast="47" xr6:coauthVersionMax="47" xr10:uidLastSave="{00000000-0000-0000-0000-000000000000}"/>
  <bookViews>
    <workbookView xWindow="-120" yWindow="-120" windowWidth="20730" windowHeight="11160" xr2:uid="{72AE6D8B-3711-4F1C-A83F-8F13C9FA8F5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71" i="1" l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J7" i="1"/>
  <c r="H7" i="1"/>
  <c r="J6" i="1"/>
  <c r="J9" i="1" s="1"/>
  <c r="H6" i="1"/>
  <c r="H5" i="1"/>
  <c r="J4" i="1"/>
  <c r="H4" i="1"/>
  <c r="H3" i="1"/>
  <c r="H2" i="1"/>
</calcChain>
</file>

<file path=xl/sharedStrings.xml><?xml version="1.0" encoding="utf-8"?>
<sst xmlns="http://schemas.openxmlformats.org/spreadsheetml/2006/main" count="1492" uniqueCount="310">
  <si>
    <t>Date</t>
  </si>
  <si>
    <t>Region</t>
  </si>
  <si>
    <t>Delivery person</t>
  </si>
  <si>
    <t>Customer ID</t>
  </si>
  <si>
    <t>Food Item</t>
  </si>
  <si>
    <t xml:space="preserve"> Cost Price</t>
  </si>
  <si>
    <t>Sales</t>
  </si>
  <si>
    <t>Profit</t>
  </si>
  <si>
    <t>Column1</t>
  </si>
  <si>
    <t>South East</t>
  </si>
  <si>
    <t>Suresh</t>
  </si>
  <si>
    <t>C1</t>
  </si>
  <si>
    <t>Balu shahi</t>
  </si>
  <si>
    <t>South West</t>
  </si>
  <si>
    <t>Mahesh</t>
  </si>
  <si>
    <t>C2</t>
  </si>
  <si>
    <t>Boondi</t>
  </si>
  <si>
    <t>Chicken Tikka</t>
  </si>
  <si>
    <t>North East</t>
  </si>
  <si>
    <t>Raju</t>
  </si>
  <si>
    <t>C3</t>
  </si>
  <si>
    <t>Gajar ka halwa</t>
  </si>
  <si>
    <t>SUM</t>
  </si>
  <si>
    <t>Raj</t>
  </si>
  <si>
    <t>C16</t>
  </si>
  <si>
    <t>Rabri</t>
  </si>
  <si>
    <t>North West</t>
  </si>
  <si>
    <t>Nilesh</t>
  </si>
  <si>
    <t>C4</t>
  </si>
  <si>
    <t>Ghevar</t>
  </si>
  <si>
    <t>Central</t>
  </si>
  <si>
    <t>Sri</t>
  </si>
  <si>
    <t>C5</t>
  </si>
  <si>
    <t>Gulab jamun</t>
  </si>
  <si>
    <t>PROFIT</t>
  </si>
  <si>
    <t>Ram</t>
  </si>
  <si>
    <t>C6</t>
  </si>
  <si>
    <t>Imarti</t>
  </si>
  <si>
    <t>C13</t>
  </si>
  <si>
    <t>Kheer sagar</t>
  </si>
  <si>
    <t>Anil</t>
  </si>
  <si>
    <t>C7</t>
  </si>
  <si>
    <t>Jalebi</t>
  </si>
  <si>
    <t>C8</t>
  </si>
  <si>
    <t>Kaju katli</t>
  </si>
  <si>
    <t>C11</t>
  </si>
  <si>
    <t>Chhena poda</t>
  </si>
  <si>
    <t>Daal Dhokli</t>
  </si>
  <si>
    <t>Kutchi dabeli</t>
  </si>
  <si>
    <t>Dahi vada</t>
  </si>
  <si>
    <t>Dalithoy</t>
  </si>
  <si>
    <t>C9</t>
  </si>
  <si>
    <t>Kalakand</t>
  </si>
  <si>
    <t>C10</t>
  </si>
  <si>
    <t>Kheer</t>
  </si>
  <si>
    <t>Laddu</t>
  </si>
  <si>
    <t>C12</t>
  </si>
  <si>
    <t>Lassi</t>
  </si>
  <si>
    <t>Shankarpali</t>
  </si>
  <si>
    <t>Shrikhand</t>
  </si>
  <si>
    <t>Sutar feni</t>
  </si>
  <si>
    <t>Maach Jhol</t>
  </si>
  <si>
    <t>Pork Bharta</t>
  </si>
  <si>
    <t>Chak Hao Kheer</t>
  </si>
  <si>
    <t>Galho</t>
  </si>
  <si>
    <t>Nankhatai</t>
  </si>
  <si>
    <t>C14</t>
  </si>
  <si>
    <t>Petha</t>
  </si>
  <si>
    <t>C15</t>
  </si>
  <si>
    <t>Phirni</t>
  </si>
  <si>
    <t>Sheera</t>
  </si>
  <si>
    <t>Singori</t>
  </si>
  <si>
    <t>Sohan halwa</t>
  </si>
  <si>
    <t>Sohan papdi</t>
  </si>
  <si>
    <t>Chhena jalebi</t>
  </si>
  <si>
    <t>Chhena kheeri</t>
  </si>
  <si>
    <t>Cham cham</t>
  </si>
  <si>
    <t>Ledikeni</t>
  </si>
  <si>
    <t>Lyangcha</t>
  </si>
  <si>
    <t>Malapua</t>
  </si>
  <si>
    <t>Mihidana</t>
  </si>
  <si>
    <t>Misti doi</t>
  </si>
  <si>
    <t>Pantua</t>
  </si>
  <si>
    <t>Pithe</t>
  </si>
  <si>
    <t>Rasabali</t>
  </si>
  <si>
    <t>Ras malai</t>
  </si>
  <si>
    <t>Rasgulla</t>
  </si>
  <si>
    <t>Sandesh</t>
  </si>
  <si>
    <t>Adhirasam</t>
  </si>
  <si>
    <t>Ariselu</t>
  </si>
  <si>
    <t>Bandar laddu</t>
  </si>
  <si>
    <t>Chikki</t>
  </si>
  <si>
    <t>C17</t>
  </si>
  <si>
    <t>Dharwad pedha</t>
  </si>
  <si>
    <t>Paratha</t>
  </si>
  <si>
    <t>Pattor</t>
  </si>
  <si>
    <t>C18</t>
  </si>
  <si>
    <t>Double ka meetha</t>
  </si>
  <si>
    <t>C19</t>
  </si>
  <si>
    <t>Gavvalu</t>
  </si>
  <si>
    <t>C20</t>
  </si>
  <si>
    <t>Kakinada khaja</t>
  </si>
  <si>
    <t>C21</t>
  </si>
  <si>
    <t>Kuzhi paniyaram</t>
  </si>
  <si>
    <t>Mysore pak</t>
  </si>
  <si>
    <t>Obbattu holige</t>
  </si>
  <si>
    <t>Palathalikalu</t>
  </si>
  <si>
    <t>Poornalu</t>
  </si>
  <si>
    <t>Pongal</t>
  </si>
  <si>
    <t>Pootharekulu</t>
  </si>
  <si>
    <t>Qubani ka meetha</t>
  </si>
  <si>
    <t>Sheer korma</t>
  </si>
  <si>
    <t>Unni Appam</t>
  </si>
  <si>
    <t>Kajjikaya</t>
  </si>
  <si>
    <t>Anarsa</t>
  </si>
  <si>
    <t>Basundi</t>
  </si>
  <si>
    <t>Dhondas</t>
  </si>
  <si>
    <t>Doodhpak</t>
  </si>
  <si>
    <t>Mahim halwa</t>
  </si>
  <si>
    <t>Modak</t>
  </si>
  <si>
    <t>Aloo gobi</t>
  </si>
  <si>
    <t>Aloo tikki</t>
  </si>
  <si>
    <t>Aloo matar</t>
  </si>
  <si>
    <t>Aloo methi</t>
  </si>
  <si>
    <t>Aloo shimla mirch</t>
  </si>
  <si>
    <t>Bhatura</t>
  </si>
  <si>
    <t>Bhindi masala</t>
  </si>
  <si>
    <t>Biryani</t>
  </si>
  <si>
    <t>Butter chicken</t>
  </si>
  <si>
    <t>Chana masala</t>
  </si>
  <si>
    <t>Chapati</t>
  </si>
  <si>
    <t>Chicken razala</t>
  </si>
  <si>
    <t>Chicken Tikka masala</t>
  </si>
  <si>
    <t>Chole bhature</t>
  </si>
  <si>
    <t>C0</t>
  </si>
  <si>
    <t>Daal baati churma</t>
  </si>
  <si>
    <t>Daal puri</t>
  </si>
  <si>
    <t xml:space="preserve">Dal makhani </t>
  </si>
  <si>
    <t>Dal tadka</t>
  </si>
  <si>
    <t>Dum aloo</t>
  </si>
  <si>
    <t>Poha</t>
  </si>
  <si>
    <t>Fara</t>
  </si>
  <si>
    <t>Kachori</t>
  </si>
  <si>
    <t>Kadai paneer</t>
  </si>
  <si>
    <t>Kadhi pakoda</t>
  </si>
  <si>
    <t>Karela bharta</t>
  </si>
  <si>
    <t>Khichdi</t>
  </si>
  <si>
    <t>Kofta</t>
  </si>
  <si>
    <t>Kulfi falooda</t>
  </si>
  <si>
    <t>Lauki ke kofte</t>
  </si>
  <si>
    <t>Lauki ki subji</t>
  </si>
  <si>
    <t>Litti chokha</t>
  </si>
  <si>
    <t>Makki di roti sarson da saag</t>
  </si>
  <si>
    <t>Misi roti</t>
  </si>
  <si>
    <t>Mushroom do pyaza</t>
  </si>
  <si>
    <t>Samosa</t>
  </si>
  <si>
    <t>Sattu ki roti</t>
  </si>
  <si>
    <t>Shahi paneer</t>
  </si>
  <si>
    <t>Mushroom matar</t>
  </si>
  <si>
    <t>Naan</t>
  </si>
  <si>
    <t>Navrattan korma</t>
  </si>
  <si>
    <t>Palak paneer</t>
  </si>
  <si>
    <t>Paneer butter masala</t>
  </si>
  <si>
    <t>Paneer tikka masala</t>
  </si>
  <si>
    <t>Pani puri</t>
  </si>
  <si>
    <t>Panjeeri</t>
  </si>
  <si>
    <t>Papad</t>
  </si>
  <si>
    <t>Pindi chana</t>
  </si>
  <si>
    <t>Rajma chaval</t>
  </si>
  <si>
    <t>Rongi</t>
  </si>
  <si>
    <t>Shahi tukra</t>
  </si>
  <si>
    <t>Vegetable jalfrezi</t>
  </si>
  <si>
    <t>Tandoori Chicken</t>
  </si>
  <si>
    <t>Tandoori Fish Tikka</t>
  </si>
  <si>
    <t>Attu</t>
  </si>
  <si>
    <t>Avial</t>
  </si>
  <si>
    <t>Bisi bele bath</t>
  </si>
  <si>
    <t xml:space="preserve">Currivepillai sadam </t>
  </si>
  <si>
    <t>Dosa</t>
  </si>
  <si>
    <t>Idiappam</t>
  </si>
  <si>
    <t>Idli</t>
  </si>
  <si>
    <t>Kanji</t>
  </si>
  <si>
    <t>Kaara kozhambu</t>
  </si>
  <si>
    <t>Keerai kootu</t>
  </si>
  <si>
    <t>Keerai masiyal</t>
  </si>
  <si>
    <t>Keerai sadam</t>
  </si>
  <si>
    <t>Keerai poriyal</t>
  </si>
  <si>
    <t>Beef Fry</t>
  </si>
  <si>
    <t>Kootu</t>
  </si>
  <si>
    <t>Kos kootu</t>
  </si>
  <si>
    <t>Koshambri</t>
  </si>
  <si>
    <t>Kothamali sadam</t>
  </si>
  <si>
    <t>Kuzhakkattai</t>
  </si>
  <si>
    <t>Kuzhambu</t>
  </si>
  <si>
    <t>Masala Dosa</t>
  </si>
  <si>
    <t>Pachadi</t>
  </si>
  <si>
    <t>Paniyaram</t>
  </si>
  <si>
    <t>Papadum</t>
  </si>
  <si>
    <t>Paravannam</t>
  </si>
  <si>
    <t>Payasam</t>
  </si>
  <si>
    <t>Paruppu sadam</t>
  </si>
  <si>
    <t>Pesarattu</t>
  </si>
  <si>
    <t>Poriyal</t>
  </si>
  <si>
    <t>Puli sadam</t>
  </si>
  <si>
    <t>Rasam</t>
  </si>
  <si>
    <t>Puttu</t>
  </si>
  <si>
    <t>Sambar</t>
  </si>
  <si>
    <t>Sandige</t>
  </si>
  <si>
    <t>Sevai</t>
  </si>
  <si>
    <t>Thayir sadam</t>
  </si>
  <si>
    <t>Theeyal</t>
  </si>
  <si>
    <t>Uttapam</t>
  </si>
  <si>
    <t>Vada</t>
  </si>
  <si>
    <t>Chicken Varuval</t>
  </si>
  <si>
    <t>Upma</t>
  </si>
  <si>
    <t>Amti</t>
  </si>
  <si>
    <t>Zunka</t>
  </si>
  <si>
    <t>Kolim Jawla</t>
  </si>
  <si>
    <t>Saath</t>
  </si>
  <si>
    <t>Chevdo</t>
  </si>
  <si>
    <t>Chorafali</t>
  </si>
  <si>
    <t>Copra paak</t>
  </si>
  <si>
    <t>Dhokla</t>
  </si>
  <si>
    <t>Bajri no rotlo</t>
  </si>
  <si>
    <t>Coconut vadi</t>
  </si>
  <si>
    <t>Bhakri</t>
  </si>
  <si>
    <t>Bombil fry</t>
  </si>
  <si>
    <t>Chakali</t>
  </si>
  <si>
    <t>Dudhi halwa</t>
  </si>
  <si>
    <t>Gatta curry</t>
  </si>
  <si>
    <t>Gud papdi</t>
  </si>
  <si>
    <t>Ghooghra</t>
  </si>
  <si>
    <t>Handwo</t>
  </si>
  <si>
    <t>Halvasan</t>
  </si>
  <si>
    <t>Jeera Aloo</t>
  </si>
  <si>
    <t>Kansar</t>
  </si>
  <si>
    <t>Keri no ras</t>
  </si>
  <si>
    <t>Khakhra</t>
  </si>
  <si>
    <t>Khandvi</t>
  </si>
  <si>
    <t>Kombdi vade</t>
  </si>
  <si>
    <t>Laapsi</t>
  </si>
  <si>
    <t>Koshimbir</t>
  </si>
  <si>
    <t>Methi na Gota</t>
  </si>
  <si>
    <t>Mohanthal</t>
  </si>
  <si>
    <t>Muthiya</t>
  </si>
  <si>
    <t>Patra</t>
  </si>
  <si>
    <t>Pav Bhaji</t>
  </si>
  <si>
    <t>Puri Bhaji</t>
  </si>
  <si>
    <t>Sabudana Khichadi</t>
  </si>
  <si>
    <t>Sev khamani</t>
  </si>
  <si>
    <t>Sev tameta</t>
  </si>
  <si>
    <t>Namakpara</t>
  </si>
  <si>
    <t>Sukhdi</t>
  </si>
  <si>
    <t>Surnoli</t>
  </si>
  <si>
    <t>Thalipeeth</t>
  </si>
  <si>
    <t>Undhiyu</t>
  </si>
  <si>
    <t>Veg Kolhapuri</t>
  </si>
  <si>
    <t>Vindaloo</t>
  </si>
  <si>
    <t>Lilva Kachori</t>
  </si>
  <si>
    <t>Mag Dhokli</t>
  </si>
  <si>
    <t>Khichu</t>
  </si>
  <si>
    <t>Thepla</t>
  </si>
  <si>
    <t>Farsi Puri</t>
  </si>
  <si>
    <t>Khaman</t>
  </si>
  <si>
    <t>Turiya Patra Vatana sabji</t>
  </si>
  <si>
    <t>Churma Ladoo</t>
  </si>
  <si>
    <t>Cheera Doi</t>
  </si>
  <si>
    <t>Gheela Pitha</t>
  </si>
  <si>
    <t>Khar</t>
  </si>
  <si>
    <t>Kumol Sawul</t>
  </si>
  <si>
    <t>Luchi</t>
  </si>
  <si>
    <t>Alu Pitika</t>
  </si>
  <si>
    <t>Masor tenga</t>
  </si>
  <si>
    <t>Bengena Pitika</t>
  </si>
  <si>
    <t>Bilahi Maas</t>
  </si>
  <si>
    <t>Black rice</t>
  </si>
  <si>
    <t>Bora Sawul</t>
  </si>
  <si>
    <t>Brown Rice</t>
  </si>
  <si>
    <t>Chingri malai curry</t>
  </si>
  <si>
    <t>Goja</t>
  </si>
  <si>
    <t>Hando Guri</t>
  </si>
  <si>
    <t>Haq Maas</t>
  </si>
  <si>
    <t>Chingri Bhape</t>
  </si>
  <si>
    <t>Kabiraji</t>
  </si>
  <si>
    <t>Khorisa</t>
  </si>
  <si>
    <t>Shufta</t>
  </si>
  <si>
    <t>Mawa Bati</t>
  </si>
  <si>
    <t>Pinaca</t>
  </si>
  <si>
    <t>Ice cream</t>
  </si>
  <si>
    <t>Pizza</t>
  </si>
  <si>
    <t>Koldil Chicken</t>
  </si>
  <si>
    <t>Konir Dom</t>
  </si>
  <si>
    <t>Koldil Duck</t>
  </si>
  <si>
    <t>Masor Koni</t>
  </si>
  <si>
    <t>Mishti Chholar Dal</t>
  </si>
  <si>
    <t>Pakhala</t>
  </si>
  <si>
    <t>Pani Pitha</t>
  </si>
  <si>
    <t>Payokh</t>
  </si>
  <si>
    <t>Prawn malai curry</t>
  </si>
  <si>
    <t>Red Rice</t>
  </si>
  <si>
    <t>Shukto</t>
  </si>
  <si>
    <t>Til Pitha</t>
  </si>
  <si>
    <t>Bebinca</t>
  </si>
  <si>
    <t>Pasta</t>
  </si>
  <si>
    <t>Bhelpuri</t>
  </si>
  <si>
    <t>Batata Puri</t>
  </si>
  <si>
    <t>Chole Kulche</t>
  </si>
  <si>
    <t>Mix Veg</t>
  </si>
  <si>
    <t>Mutton Biryani</t>
  </si>
  <si>
    <t>Chicken Biryani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</si>
</sst>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46]\ * #,##0_ ;_ [$₹-446]\ * \-#,##0_ ;_ [$₹-446]\ * &quot;-&quot;_ ;_ @_ 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1" applyNumberFormat="1" applyFont="1"/>
  </cellXfs>
  <cellStyles count="2">
    <cellStyle name="Normal" xfId="0" builtinId="0"/>
    <cellStyle name="Percent" xfId="1" builtinId="5"/>
  </cellStyles>
  <dxfs count="6">
    <dxf>
      <numFmt numFmtId="164" formatCode="_ [$₹-446]\ * #,##0_ ;_ [$₹-446]\ * \-#,##0_ ;_ [$₹-446]\ * &quot;-&quot;_ ;_ @_ "/>
    </dxf>
    <dxf>
      <numFmt numFmtId="164" formatCode="_ [$₹-446]\ * #,##0_ ;_ [$₹-446]\ * \-#,##0_ ;_ [$₹-446]\ * &quot;-&quot;_ ;_ @_ "/>
    </dxf>
    <dxf>
      <numFmt numFmtId="164" formatCode="_ [$₹-446]\ * #,##0_ ;_ [$₹-446]\ * \-#,##0_ ;_ [$₹-446]\ * &quot;-&quot;_ ;_ @_ "/>
    </dxf>
    <dxf>
      <numFmt numFmtId="164" formatCode="_ [$₹-446]\ * #,##0_ ;_ [$₹-446]\ * \-#,##0_ ;_ [$₹-446]\ * &quot;-&quot;_ ;_ @_ "/>
    </dxf>
    <dxf>
      <numFmt numFmtId="164" formatCode="_ [$₹-446]\ * #,##0_ ;_ [$₹-446]\ * \-#,##0_ ;_ [$₹-446]\ * &quot;-&quot;_ ;_ @_ 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24907F-55FE-4CF2-B3C6-A44F1A4D1CE8}" name="Table1" displayName="Table1" ref="A1:G371" totalsRowShown="0">
  <autoFilter ref="A1:G371" xr:uid="{00000000-000C-0000-FFFF-FFFF00000000}"/>
  <tableColumns count="7">
    <tableColumn id="1" xr3:uid="{D05F65D7-85E7-4EE2-8112-0A2EA037005A}" name="Date" dataDxfId="5"/>
    <tableColumn id="2" xr3:uid="{366985F9-215A-40C4-A91B-D80E7F21E564}" name="Region"/>
    <tableColumn id="3" xr3:uid="{7F3BF25D-310E-4003-B407-30861E55BBA9}" name="Delivery person"/>
    <tableColumn id="4" xr3:uid="{10978AE1-A94F-46B4-A8D1-E035C204A37D}" name="Customer ID"/>
    <tableColumn id="5" xr3:uid="{0B896B51-2385-49B2-9D7F-9BA6077FC3BD}" name="Food Item"/>
    <tableColumn id="6" xr3:uid="{F3015272-7C3C-4985-A634-E4B572C1209F}" name=" Cost Price" dataDxfId="4"/>
    <tableColumn id="7" xr3:uid="{A5881484-3C0D-4744-9E1E-900851DC01D0}" name="Sales" dataDxfId="3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A741FD1-8AEC-4336-844F-6618440F6FFC}" name="Table2" displayName="Table2" ref="H1:H371" totalsRowShown="0" headerRowDxfId="2" dataDxfId="1">
  <autoFilter ref="H1:H371" xr:uid="{50AA1CD4-56EE-4B86-9BD2-F900D82B52E6}"/>
  <tableColumns count="1">
    <tableColumn id="1" xr3:uid="{02C8700D-5052-497F-9F0B-AA401C613266}" name="Profit" dataDxfId="0">
      <calculatedColumnFormula>Table1[[#This Row],[Sales]]-Table1[[#This Row],[ Cost Price]]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A9A4-F6EF-42E3-A4DF-3B0B0790FB4F}">
  <sheetPr>
    <tabColor rgb="FF170FB1"/>
  </sheetPr>
  <dimension ref="A1:J371"/>
  <sheetViews>
    <sheetView tabSelected="1" zoomScale="112" zoomScaleNormal="112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0.42578125" bestFit="1" customWidth="1"/>
    <col min="3" max="3" width="15.85546875" customWidth="1"/>
    <col min="4" max="4" width="13.28515625" customWidth="1"/>
    <col min="5" max="5" width="23.7109375" bestFit="1" customWidth="1"/>
    <col min="6" max="6" width="11.5703125" style="1" customWidth="1"/>
    <col min="7" max="8" width="12.85546875" style="1" customWidth="1"/>
    <col min="10" max="10" width="30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J1" t="s">
        <v>8</v>
      </c>
    </row>
    <row r="2" spans="1:10" x14ac:dyDescent="0.25">
      <c r="A2" s="2">
        <v>44197</v>
      </c>
      <c r="B2" t="s">
        <v>9</v>
      </c>
      <c r="C2" t="s">
        <v>10</v>
      </c>
      <c r="D2" t="s">
        <v>11</v>
      </c>
      <c r="E2" t="s">
        <v>12</v>
      </c>
      <c r="F2" s="1">
        <v>1055.2683473372188</v>
      </c>
      <c r="G2" s="1">
        <v>1067.0075657177797</v>
      </c>
      <c r="H2" s="1">
        <f>Table1[[#This Row],[Sales]]-Table1[[#This Row],[ Cost Price]]</f>
        <v>11.739218380560942</v>
      </c>
    </row>
    <row r="3" spans="1:10" x14ac:dyDescent="0.25">
      <c r="A3" s="2">
        <v>44198</v>
      </c>
      <c r="B3" t="s">
        <v>13</v>
      </c>
      <c r="C3" t="s">
        <v>14</v>
      </c>
      <c r="D3" t="s">
        <v>15</v>
      </c>
      <c r="E3" t="s">
        <v>16</v>
      </c>
      <c r="F3" s="1">
        <v>756.78814568231996</v>
      </c>
      <c r="G3" s="1">
        <v>925.37958297359876</v>
      </c>
      <c r="H3" s="1">
        <f>Table1[[#This Row],[Sales]]-Table1[[#This Row],[ Cost Price]]</f>
        <v>168.59143729127879</v>
      </c>
      <c r="J3" t="s">
        <v>7</v>
      </c>
    </row>
    <row r="4" spans="1:10" x14ac:dyDescent="0.25">
      <c r="A4" s="2">
        <v>44564</v>
      </c>
      <c r="B4" t="s">
        <v>13</v>
      </c>
      <c r="C4" t="s">
        <v>14</v>
      </c>
      <c r="D4" t="s">
        <v>15</v>
      </c>
      <c r="E4" t="s">
        <v>17</v>
      </c>
      <c r="F4" s="1">
        <v>541.2354935492416</v>
      </c>
      <c r="G4" s="1">
        <v>789.83277445941997</v>
      </c>
      <c r="H4" s="1">
        <f>Table1[[#This Row],[Sales]]-Table1[[#This Row],[ Cost Price]]</f>
        <v>248.59728091017837</v>
      </c>
      <c r="J4">
        <f>G:G-F:F</f>
        <v>248.59728091017837</v>
      </c>
    </row>
    <row r="5" spans="1:10" x14ac:dyDescent="0.25">
      <c r="A5" s="2">
        <v>44199</v>
      </c>
      <c r="B5" t="s">
        <v>18</v>
      </c>
      <c r="C5" t="s">
        <v>19</v>
      </c>
      <c r="D5" t="s">
        <v>20</v>
      </c>
      <c r="E5" t="s">
        <v>21</v>
      </c>
      <c r="F5" s="1">
        <v>547.29230908755039</v>
      </c>
      <c r="G5" s="1">
        <v>709.28753847853568</v>
      </c>
      <c r="H5" s="1">
        <f>Table1[[#This Row],[Sales]]-Table1[[#This Row],[ Cost Price]]</f>
        <v>161.99522939098529</v>
      </c>
      <c r="J5" t="s">
        <v>22</v>
      </c>
    </row>
    <row r="6" spans="1:10" x14ac:dyDescent="0.25">
      <c r="A6" s="2">
        <v>44199</v>
      </c>
      <c r="B6" t="s">
        <v>9</v>
      </c>
      <c r="C6" t="s">
        <v>23</v>
      </c>
      <c r="D6" t="s">
        <v>24</v>
      </c>
      <c r="E6" t="s">
        <v>25</v>
      </c>
      <c r="F6" s="1">
        <v>643.48978191970775</v>
      </c>
      <c r="G6" s="1">
        <v>896.1545472848702</v>
      </c>
      <c r="H6" s="1">
        <f>Table1[[#This Row],[Sales]]-Table1[[#This Row],[ Cost Price]]</f>
        <v>252.66476536516245</v>
      </c>
      <c r="J6">
        <f>SUM(G:G)</f>
        <v>213505.49476710946</v>
      </c>
    </row>
    <row r="7" spans="1:10" x14ac:dyDescent="0.25">
      <c r="A7" s="2">
        <v>44565</v>
      </c>
      <c r="B7" t="s">
        <v>26</v>
      </c>
      <c r="C7" t="s">
        <v>27</v>
      </c>
      <c r="D7" t="s">
        <v>28</v>
      </c>
      <c r="E7" t="s">
        <v>29</v>
      </c>
      <c r="F7" s="1">
        <v>373.11926132385656</v>
      </c>
      <c r="G7" s="1">
        <v>458.11545008020522</v>
      </c>
      <c r="H7" s="1">
        <f>Table1[[#This Row],[Sales]]-Table1[[#This Row],[ Cost Price]]</f>
        <v>84.996188756348658</v>
      </c>
      <c r="J7">
        <f>SUM(F:F)</f>
        <v>167968.7568990305</v>
      </c>
    </row>
    <row r="8" spans="1:10" x14ac:dyDescent="0.25">
      <c r="A8" s="2">
        <v>44201</v>
      </c>
      <c r="B8" t="s">
        <v>30</v>
      </c>
      <c r="C8" t="s">
        <v>31</v>
      </c>
      <c r="D8" t="s">
        <v>32</v>
      </c>
      <c r="E8" t="s">
        <v>33</v>
      </c>
      <c r="F8" s="1">
        <v>831.31065562837955</v>
      </c>
      <c r="G8" s="1">
        <v>977.76997423616638</v>
      </c>
      <c r="H8" s="1">
        <f>Table1[[#This Row],[Sales]]-Table1[[#This Row],[ Cost Price]]</f>
        <v>146.45931860778683</v>
      </c>
      <c r="J8" t="s">
        <v>34</v>
      </c>
    </row>
    <row r="9" spans="1:10" x14ac:dyDescent="0.25">
      <c r="A9" s="2">
        <v>44202</v>
      </c>
      <c r="B9" t="s">
        <v>9</v>
      </c>
      <c r="C9" t="s">
        <v>35</v>
      </c>
      <c r="D9" t="s">
        <v>36</v>
      </c>
      <c r="E9" t="s">
        <v>37</v>
      </c>
      <c r="F9" s="1">
        <v>860.34531946248762</v>
      </c>
      <c r="G9" s="1">
        <v>992.63792341757653</v>
      </c>
      <c r="H9" s="1">
        <f>Table1[[#This Row],[Sales]]-Table1[[#This Row],[ Cost Price]]</f>
        <v>132.29260395508891</v>
      </c>
      <c r="J9" s="3">
        <f>J6-J7</f>
        <v>45536.737868078955</v>
      </c>
    </row>
    <row r="10" spans="1:10" x14ac:dyDescent="0.25">
      <c r="A10" s="2">
        <v>44568</v>
      </c>
      <c r="B10" t="s">
        <v>13</v>
      </c>
      <c r="C10" t="s">
        <v>10</v>
      </c>
      <c r="D10" t="s">
        <v>38</v>
      </c>
      <c r="E10" t="s">
        <v>39</v>
      </c>
      <c r="F10" s="1">
        <v>58.437136257152716</v>
      </c>
      <c r="G10" s="1">
        <v>218.00112218082108</v>
      </c>
      <c r="H10" s="1">
        <f>Table1[[#This Row],[Sales]]-Table1[[#This Row],[ Cost Price]]</f>
        <v>159.56398592366838</v>
      </c>
    </row>
    <row r="11" spans="1:10" x14ac:dyDescent="0.25">
      <c r="A11" s="2">
        <v>44203</v>
      </c>
      <c r="B11" t="s">
        <v>13</v>
      </c>
      <c r="C11" t="s">
        <v>40</v>
      </c>
      <c r="D11" t="s">
        <v>41</v>
      </c>
      <c r="E11" t="s">
        <v>42</v>
      </c>
      <c r="F11" s="1">
        <v>87.140147580619896</v>
      </c>
      <c r="G11" s="1">
        <v>96.091193380361773</v>
      </c>
      <c r="H11" s="1">
        <f>Table1[[#This Row],[Sales]]-Table1[[#This Row],[ Cost Price]]</f>
        <v>8.9510457997418769</v>
      </c>
    </row>
    <row r="12" spans="1:10" x14ac:dyDescent="0.25">
      <c r="A12" s="2">
        <v>44204</v>
      </c>
      <c r="B12" t="s">
        <v>13</v>
      </c>
      <c r="C12" t="s">
        <v>23</v>
      </c>
      <c r="D12" t="s">
        <v>43</v>
      </c>
      <c r="E12" t="s">
        <v>44</v>
      </c>
      <c r="F12" s="1">
        <v>671.61927806051324</v>
      </c>
      <c r="G12" s="1">
        <v>880.06064007169084</v>
      </c>
      <c r="H12" s="1">
        <f>Table1[[#This Row],[Sales]]-Table1[[#This Row],[ Cost Price]]</f>
        <v>208.4413620111776</v>
      </c>
    </row>
    <row r="13" spans="1:10" x14ac:dyDescent="0.25">
      <c r="A13" s="2">
        <v>44570</v>
      </c>
      <c r="B13" t="s">
        <v>13</v>
      </c>
      <c r="C13" t="s">
        <v>40</v>
      </c>
      <c r="D13" t="s">
        <v>45</v>
      </c>
      <c r="E13" t="s">
        <v>46</v>
      </c>
      <c r="F13" s="1">
        <v>560.31131342856884</v>
      </c>
      <c r="G13" s="1">
        <v>660.82302657959497</v>
      </c>
      <c r="H13" s="1">
        <f>Table1[[#This Row],[Sales]]-Table1[[#This Row],[ Cost Price]]</f>
        <v>100.51171315102613</v>
      </c>
    </row>
    <row r="14" spans="1:10" x14ac:dyDescent="0.25">
      <c r="A14" s="2">
        <v>44201</v>
      </c>
      <c r="B14" t="s">
        <v>26</v>
      </c>
      <c r="C14" t="s">
        <v>31</v>
      </c>
      <c r="D14" t="s">
        <v>15</v>
      </c>
      <c r="E14" t="s">
        <v>47</v>
      </c>
      <c r="F14" s="1">
        <v>686.89730311804783</v>
      </c>
      <c r="G14" s="1">
        <v>806.33384088686216</v>
      </c>
      <c r="H14" s="1">
        <f>Table1[[#This Row],[Sales]]-Table1[[#This Row],[ Cost Price]]</f>
        <v>119.43653776881433</v>
      </c>
    </row>
    <row r="15" spans="1:10" x14ac:dyDescent="0.25">
      <c r="A15" s="2">
        <v>44567</v>
      </c>
      <c r="B15" t="s">
        <v>26</v>
      </c>
      <c r="C15" t="s">
        <v>31</v>
      </c>
      <c r="D15" t="s">
        <v>20</v>
      </c>
      <c r="E15" t="s">
        <v>48</v>
      </c>
      <c r="F15" s="1">
        <v>410.38915925904814</v>
      </c>
      <c r="G15" s="1">
        <v>510.48513640878156</v>
      </c>
      <c r="H15" s="1">
        <f>Table1[[#This Row],[Sales]]-Table1[[#This Row],[ Cost Price]]</f>
        <v>100.09597714973341</v>
      </c>
    </row>
    <row r="16" spans="1:10" x14ac:dyDescent="0.25">
      <c r="A16" s="2">
        <v>44203</v>
      </c>
      <c r="B16" t="s">
        <v>30</v>
      </c>
      <c r="C16" t="s">
        <v>31</v>
      </c>
      <c r="D16" t="s">
        <v>28</v>
      </c>
      <c r="E16" t="s">
        <v>49</v>
      </c>
      <c r="F16" s="1">
        <v>790.83096718845502</v>
      </c>
      <c r="G16" s="1">
        <v>1048.9721326092972</v>
      </c>
      <c r="H16" s="1">
        <f>Table1[[#This Row],[Sales]]-Table1[[#This Row],[ Cost Price]]</f>
        <v>258.14116542084219</v>
      </c>
    </row>
    <row r="17" spans="1:8" x14ac:dyDescent="0.25">
      <c r="A17" s="2">
        <v>44204</v>
      </c>
      <c r="B17" t="s">
        <v>9</v>
      </c>
      <c r="C17" t="s">
        <v>31</v>
      </c>
      <c r="D17" t="s">
        <v>32</v>
      </c>
      <c r="E17" t="s">
        <v>50</v>
      </c>
      <c r="F17" s="1">
        <v>333.57740042990991</v>
      </c>
      <c r="G17" s="1">
        <v>504.8887732421116</v>
      </c>
      <c r="H17" s="1">
        <f>Table1[[#This Row],[Sales]]-Table1[[#This Row],[ Cost Price]]</f>
        <v>171.31137281220168</v>
      </c>
    </row>
    <row r="18" spans="1:8" x14ac:dyDescent="0.25">
      <c r="A18" s="2">
        <v>44205</v>
      </c>
      <c r="B18" t="s">
        <v>13</v>
      </c>
      <c r="C18" t="s">
        <v>23</v>
      </c>
      <c r="D18" t="s">
        <v>51</v>
      </c>
      <c r="E18" t="s">
        <v>52</v>
      </c>
      <c r="F18" s="1">
        <v>310.52990451934932</v>
      </c>
      <c r="G18" s="1">
        <v>322.02559828263196</v>
      </c>
      <c r="H18" s="1">
        <f>Table1[[#This Row],[Sales]]-Table1[[#This Row],[ Cost Price]]</f>
        <v>11.495693763282645</v>
      </c>
    </row>
    <row r="19" spans="1:8" x14ac:dyDescent="0.25">
      <c r="A19" s="2">
        <v>44571</v>
      </c>
      <c r="B19" t="s">
        <v>13</v>
      </c>
      <c r="C19" t="s">
        <v>23</v>
      </c>
      <c r="D19" t="s">
        <v>53</v>
      </c>
      <c r="E19" t="s">
        <v>54</v>
      </c>
      <c r="F19" s="1">
        <v>96.718219099192311</v>
      </c>
      <c r="G19" s="1">
        <v>300.76955310746428</v>
      </c>
      <c r="H19" s="1">
        <f>Table1[[#This Row],[Sales]]-Table1[[#This Row],[ Cost Price]]</f>
        <v>204.05133400827197</v>
      </c>
    </row>
    <row r="20" spans="1:8" x14ac:dyDescent="0.25">
      <c r="A20" s="2">
        <v>44207</v>
      </c>
      <c r="B20" t="s">
        <v>13</v>
      </c>
      <c r="C20" t="s">
        <v>23</v>
      </c>
      <c r="D20" t="s">
        <v>45</v>
      </c>
      <c r="E20" t="s">
        <v>55</v>
      </c>
      <c r="F20" s="1">
        <v>739.9429684781951</v>
      </c>
      <c r="G20" s="1">
        <v>870.72318448706073</v>
      </c>
      <c r="H20" s="1">
        <f>Table1[[#This Row],[Sales]]-Table1[[#This Row],[ Cost Price]]</f>
        <v>130.78021600886564</v>
      </c>
    </row>
    <row r="21" spans="1:8" x14ac:dyDescent="0.25">
      <c r="A21" s="2">
        <v>44573</v>
      </c>
      <c r="B21" t="s">
        <v>13</v>
      </c>
      <c r="C21" t="s">
        <v>23</v>
      </c>
      <c r="D21" t="s">
        <v>56</v>
      </c>
      <c r="E21" t="s">
        <v>57</v>
      </c>
      <c r="F21" s="1">
        <v>598.4820038341968</v>
      </c>
      <c r="G21" s="1">
        <v>712.68068736840519</v>
      </c>
      <c r="H21" s="1">
        <f>Table1[[#This Row],[Sales]]-Table1[[#This Row],[ Cost Price]]</f>
        <v>114.19868353420839</v>
      </c>
    </row>
    <row r="22" spans="1:8" x14ac:dyDescent="0.25">
      <c r="A22" s="2">
        <v>44230</v>
      </c>
      <c r="B22" t="s">
        <v>13</v>
      </c>
      <c r="C22" t="s">
        <v>27</v>
      </c>
      <c r="D22" t="s">
        <v>15</v>
      </c>
      <c r="E22" t="s">
        <v>58</v>
      </c>
      <c r="F22" s="1">
        <v>624.72538600390703</v>
      </c>
      <c r="G22" s="1">
        <v>645.37022515154558</v>
      </c>
      <c r="H22" s="1">
        <f>Table1[[#This Row],[Sales]]-Table1[[#This Row],[ Cost Price]]</f>
        <v>20.64483914763855</v>
      </c>
    </row>
    <row r="23" spans="1:8" x14ac:dyDescent="0.25">
      <c r="A23" s="2">
        <v>44290</v>
      </c>
      <c r="B23" t="s">
        <v>18</v>
      </c>
      <c r="C23" t="s">
        <v>27</v>
      </c>
      <c r="D23" t="s">
        <v>20</v>
      </c>
      <c r="E23" t="s">
        <v>59</v>
      </c>
      <c r="F23" s="1">
        <v>270.93640335511071</v>
      </c>
      <c r="G23" s="1">
        <v>306.37409605843436</v>
      </c>
      <c r="H23" s="1">
        <f>Table1[[#This Row],[Sales]]-Table1[[#This Row],[ Cost Price]]</f>
        <v>35.437692703323648</v>
      </c>
    </row>
    <row r="24" spans="1:8" x14ac:dyDescent="0.25">
      <c r="A24" s="2">
        <v>44686</v>
      </c>
      <c r="B24" t="s">
        <v>30</v>
      </c>
      <c r="C24" t="s">
        <v>27</v>
      </c>
      <c r="D24" t="s">
        <v>28</v>
      </c>
      <c r="E24" t="s">
        <v>60</v>
      </c>
      <c r="F24" s="1">
        <v>274.18145170974475</v>
      </c>
      <c r="G24" s="1">
        <v>479.50776431743282</v>
      </c>
      <c r="H24" s="1">
        <f>Table1[[#This Row],[Sales]]-Table1[[#This Row],[ Cost Price]]</f>
        <v>205.32631260768807</v>
      </c>
    </row>
    <row r="25" spans="1:8" x14ac:dyDescent="0.25">
      <c r="A25" s="2">
        <v>44322</v>
      </c>
      <c r="B25" t="s">
        <v>30</v>
      </c>
      <c r="C25" t="s">
        <v>27</v>
      </c>
      <c r="D25" t="s">
        <v>32</v>
      </c>
      <c r="E25" t="s">
        <v>61</v>
      </c>
      <c r="F25" s="1">
        <v>855.98353787739961</v>
      </c>
      <c r="G25" s="1">
        <v>1020.8395410561795</v>
      </c>
      <c r="H25" s="1">
        <f>Table1[[#This Row],[Sales]]-Table1[[#This Row],[ Cost Price]]</f>
        <v>164.85600317877993</v>
      </c>
    </row>
    <row r="26" spans="1:8" x14ac:dyDescent="0.25">
      <c r="A26" s="2">
        <v>44369</v>
      </c>
      <c r="B26" t="s">
        <v>30</v>
      </c>
      <c r="C26" t="s">
        <v>27</v>
      </c>
      <c r="D26" t="s">
        <v>36</v>
      </c>
      <c r="E26" t="s">
        <v>62</v>
      </c>
      <c r="F26" s="1">
        <v>592.03969294249237</v>
      </c>
      <c r="G26" s="1">
        <v>690.28967014896898</v>
      </c>
      <c r="H26" s="1">
        <f>Table1[[#This Row],[Sales]]-Table1[[#This Row],[ Cost Price]]</f>
        <v>98.249977206476615</v>
      </c>
    </row>
    <row r="27" spans="1:8" x14ac:dyDescent="0.25">
      <c r="A27" s="2">
        <v>44648</v>
      </c>
      <c r="B27" t="s">
        <v>30</v>
      </c>
      <c r="C27" t="s">
        <v>27</v>
      </c>
      <c r="D27" t="s">
        <v>41</v>
      </c>
      <c r="E27" t="s">
        <v>63</v>
      </c>
      <c r="F27" s="1">
        <v>852.60731912759559</v>
      </c>
      <c r="G27" s="1">
        <v>908.4293681386556</v>
      </c>
      <c r="H27" s="1">
        <f>Table1[[#This Row],[Sales]]-Table1[[#This Row],[ Cost Price]]</f>
        <v>55.822049011060017</v>
      </c>
    </row>
    <row r="28" spans="1:8" x14ac:dyDescent="0.25">
      <c r="A28" s="2">
        <v>44575</v>
      </c>
      <c r="B28" t="s">
        <v>30</v>
      </c>
      <c r="C28" t="s">
        <v>27</v>
      </c>
      <c r="D28" t="s">
        <v>43</v>
      </c>
      <c r="E28" t="s">
        <v>64</v>
      </c>
      <c r="F28" s="1">
        <v>108.72861642412337</v>
      </c>
      <c r="G28" s="1">
        <v>183.19917685915925</v>
      </c>
      <c r="H28" s="1">
        <f>Table1[[#This Row],[Sales]]-Table1[[#This Row],[ Cost Price]]</f>
        <v>74.470560435035878</v>
      </c>
    </row>
    <row r="29" spans="1:8" x14ac:dyDescent="0.25">
      <c r="A29" s="2">
        <v>44574</v>
      </c>
      <c r="B29" t="s">
        <v>18</v>
      </c>
      <c r="C29" t="s">
        <v>31</v>
      </c>
      <c r="D29" t="s">
        <v>38</v>
      </c>
      <c r="E29" t="s">
        <v>65</v>
      </c>
      <c r="F29" s="1">
        <v>1112.9809430767214</v>
      </c>
      <c r="G29" s="1">
        <v>1288.2177730931405</v>
      </c>
      <c r="H29" s="1">
        <f>Table1[[#This Row],[Sales]]-Table1[[#This Row],[ Cost Price]]</f>
        <v>175.23683001641916</v>
      </c>
    </row>
    <row r="30" spans="1:8" x14ac:dyDescent="0.25">
      <c r="A30" s="2">
        <v>44575</v>
      </c>
      <c r="B30" t="s">
        <v>26</v>
      </c>
      <c r="C30" t="s">
        <v>35</v>
      </c>
      <c r="D30" t="s">
        <v>66</v>
      </c>
      <c r="E30" t="s">
        <v>67</v>
      </c>
      <c r="F30" s="1">
        <v>489.00738059821265</v>
      </c>
      <c r="G30" s="1">
        <v>548.49919541616214</v>
      </c>
      <c r="H30" s="1">
        <f>Table1[[#This Row],[Sales]]-Table1[[#This Row],[ Cost Price]]</f>
        <v>59.491814817949489</v>
      </c>
    </row>
    <row r="31" spans="1:8" x14ac:dyDescent="0.25">
      <c r="A31" s="2">
        <v>44576</v>
      </c>
      <c r="B31" t="s">
        <v>30</v>
      </c>
      <c r="C31" t="s">
        <v>40</v>
      </c>
      <c r="D31" t="s">
        <v>68</v>
      </c>
      <c r="E31" t="s">
        <v>69</v>
      </c>
      <c r="F31" s="1">
        <v>322.28575730737379</v>
      </c>
      <c r="G31" s="1">
        <v>516.24808833107818</v>
      </c>
      <c r="H31" s="1">
        <f>Table1[[#This Row],[Sales]]-Table1[[#This Row],[ Cost Price]]</f>
        <v>193.96233102370439</v>
      </c>
    </row>
    <row r="32" spans="1:8" x14ac:dyDescent="0.25">
      <c r="A32" s="2">
        <v>44577</v>
      </c>
      <c r="B32" t="s">
        <v>9</v>
      </c>
      <c r="C32" t="s">
        <v>23</v>
      </c>
      <c r="D32" t="s">
        <v>24</v>
      </c>
      <c r="E32" t="s">
        <v>25</v>
      </c>
      <c r="F32" s="1">
        <v>643.48978191970775</v>
      </c>
      <c r="G32" s="1">
        <v>896.1545472848702</v>
      </c>
      <c r="H32" s="1">
        <f>Table1[[#This Row],[Sales]]-Table1[[#This Row],[ Cost Price]]</f>
        <v>252.66476536516245</v>
      </c>
    </row>
    <row r="33" spans="1:8" x14ac:dyDescent="0.25">
      <c r="A33" s="2">
        <v>44213</v>
      </c>
      <c r="B33" t="s">
        <v>13</v>
      </c>
      <c r="C33" t="s">
        <v>10</v>
      </c>
      <c r="D33" t="s">
        <v>32</v>
      </c>
      <c r="E33" t="s">
        <v>70</v>
      </c>
      <c r="F33" s="1">
        <v>453.97451992747807</v>
      </c>
      <c r="G33" s="1">
        <v>562.38529981740021</v>
      </c>
      <c r="H33" s="1">
        <f>Table1[[#This Row],[Sales]]-Table1[[#This Row],[ Cost Price]]</f>
        <v>108.41077988992214</v>
      </c>
    </row>
    <row r="34" spans="1:8" x14ac:dyDescent="0.25">
      <c r="A34" s="2">
        <v>44214</v>
      </c>
      <c r="B34" t="s">
        <v>18</v>
      </c>
      <c r="C34" t="s">
        <v>14</v>
      </c>
      <c r="D34" t="s">
        <v>36</v>
      </c>
      <c r="E34" t="s">
        <v>71</v>
      </c>
      <c r="F34" s="1">
        <v>407.33913873451991</v>
      </c>
      <c r="G34" s="1">
        <v>545.89687713441094</v>
      </c>
      <c r="H34" s="1">
        <f>Table1[[#This Row],[Sales]]-Table1[[#This Row],[ Cost Price]]</f>
        <v>138.55773839989104</v>
      </c>
    </row>
    <row r="35" spans="1:8" x14ac:dyDescent="0.25">
      <c r="A35" s="2">
        <v>44580</v>
      </c>
      <c r="B35" t="s">
        <v>26</v>
      </c>
      <c r="C35" t="s">
        <v>19</v>
      </c>
      <c r="D35" t="s">
        <v>41</v>
      </c>
      <c r="E35" t="s">
        <v>72</v>
      </c>
      <c r="F35" s="1">
        <v>720.25088277802047</v>
      </c>
      <c r="G35" s="1">
        <v>833.77693470899828</v>
      </c>
      <c r="H35" s="1">
        <f>Table1[[#This Row],[Sales]]-Table1[[#This Row],[ Cost Price]]</f>
        <v>113.52605193097781</v>
      </c>
    </row>
    <row r="36" spans="1:8" x14ac:dyDescent="0.25">
      <c r="A36" s="2">
        <v>44216</v>
      </c>
      <c r="B36" t="s">
        <v>13</v>
      </c>
      <c r="C36" t="s">
        <v>23</v>
      </c>
      <c r="D36" t="s">
        <v>53</v>
      </c>
      <c r="E36" t="s">
        <v>54</v>
      </c>
      <c r="F36" s="1">
        <v>96.718219099192311</v>
      </c>
      <c r="G36" s="1">
        <v>300.76955310746428</v>
      </c>
      <c r="H36" s="1">
        <f>Table1[[#This Row],[Sales]]-Table1[[#This Row],[ Cost Price]]</f>
        <v>204.05133400827197</v>
      </c>
    </row>
    <row r="37" spans="1:8" x14ac:dyDescent="0.25">
      <c r="A37" s="2">
        <v>44216</v>
      </c>
      <c r="B37" t="s">
        <v>30</v>
      </c>
      <c r="C37" t="s">
        <v>27</v>
      </c>
      <c r="D37" t="s">
        <v>43</v>
      </c>
      <c r="E37" t="s">
        <v>73</v>
      </c>
      <c r="F37" s="1">
        <v>693.53223590460607</v>
      </c>
      <c r="G37" s="1">
        <v>885.87214710833086</v>
      </c>
      <c r="H37" s="1">
        <f>Table1[[#This Row],[Sales]]-Table1[[#This Row],[ Cost Price]]</f>
        <v>192.3399112037248</v>
      </c>
    </row>
    <row r="38" spans="1:8" x14ac:dyDescent="0.25">
      <c r="A38" s="2">
        <v>44582</v>
      </c>
      <c r="B38" t="s">
        <v>9</v>
      </c>
      <c r="C38" t="s">
        <v>31</v>
      </c>
      <c r="D38" t="s">
        <v>51</v>
      </c>
      <c r="E38" t="s">
        <v>74</v>
      </c>
      <c r="F38" s="1">
        <v>876.48227250158675</v>
      </c>
      <c r="G38" s="1">
        <v>883.74403670438096</v>
      </c>
      <c r="H38" s="1">
        <f>Table1[[#This Row],[Sales]]-Table1[[#This Row],[ Cost Price]]</f>
        <v>7.2617642027942111</v>
      </c>
    </row>
    <row r="39" spans="1:8" x14ac:dyDescent="0.25">
      <c r="A39" s="2">
        <v>44218</v>
      </c>
      <c r="B39" t="s">
        <v>13</v>
      </c>
      <c r="C39" t="s">
        <v>35</v>
      </c>
      <c r="D39" t="s">
        <v>53</v>
      </c>
      <c r="E39" t="s">
        <v>75</v>
      </c>
      <c r="F39" s="1">
        <v>523.71307437979885</v>
      </c>
      <c r="G39" s="1">
        <v>662.46844951781645</v>
      </c>
      <c r="H39" s="1">
        <f>Table1[[#This Row],[Sales]]-Table1[[#This Row],[ Cost Price]]</f>
        <v>138.7553751380176</v>
      </c>
    </row>
    <row r="40" spans="1:8" x14ac:dyDescent="0.25">
      <c r="A40" s="2">
        <v>44584</v>
      </c>
      <c r="B40" t="s">
        <v>13</v>
      </c>
      <c r="C40" t="s">
        <v>40</v>
      </c>
      <c r="D40" t="s">
        <v>45</v>
      </c>
      <c r="E40" t="s">
        <v>46</v>
      </c>
      <c r="F40" s="1">
        <v>560.31131342856884</v>
      </c>
      <c r="G40" s="1">
        <v>660.82302657959497</v>
      </c>
      <c r="H40" s="1">
        <f>Table1[[#This Row],[Sales]]-Table1[[#This Row],[ Cost Price]]</f>
        <v>100.51171315102613</v>
      </c>
    </row>
    <row r="41" spans="1:8" x14ac:dyDescent="0.25">
      <c r="A41" s="2">
        <v>44220</v>
      </c>
      <c r="B41" t="s">
        <v>13</v>
      </c>
      <c r="C41" t="s">
        <v>23</v>
      </c>
      <c r="D41" t="s">
        <v>56</v>
      </c>
      <c r="E41" t="s">
        <v>76</v>
      </c>
      <c r="F41" s="1">
        <v>18.332789486872958</v>
      </c>
      <c r="G41" s="1">
        <v>145.63553895171015</v>
      </c>
      <c r="H41" s="1">
        <f>Table1[[#This Row],[Sales]]-Table1[[#This Row],[ Cost Price]]</f>
        <v>127.30274946483719</v>
      </c>
    </row>
    <row r="42" spans="1:8" x14ac:dyDescent="0.25">
      <c r="A42" s="2">
        <v>44586</v>
      </c>
      <c r="B42" t="s">
        <v>13</v>
      </c>
      <c r="C42" t="s">
        <v>10</v>
      </c>
      <c r="D42" t="s">
        <v>38</v>
      </c>
      <c r="E42" t="s">
        <v>39</v>
      </c>
      <c r="F42" s="1">
        <v>58.437136257152716</v>
      </c>
      <c r="G42" s="1">
        <v>218.00112218082108</v>
      </c>
      <c r="H42" s="1">
        <f>Table1[[#This Row],[Sales]]-Table1[[#This Row],[ Cost Price]]</f>
        <v>159.56398592366838</v>
      </c>
    </row>
    <row r="43" spans="1:8" x14ac:dyDescent="0.25">
      <c r="A43" s="2">
        <v>44587</v>
      </c>
      <c r="B43" t="s">
        <v>13</v>
      </c>
      <c r="C43" t="s">
        <v>14</v>
      </c>
      <c r="D43" t="s">
        <v>66</v>
      </c>
      <c r="E43" t="s">
        <v>77</v>
      </c>
      <c r="F43" s="1">
        <v>262.8836427366349</v>
      </c>
      <c r="G43" s="1">
        <v>370.99958581444207</v>
      </c>
      <c r="H43" s="1">
        <f>Table1[[#This Row],[Sales]]-Table1[[#This Row],[ Cost Price]]</f>
        <v>108.11594307780717</v>
      </c>
    </row>
    <row r="44" spans="1:8" x14ac:dyDescent="0.25">
      <c r="A44" s="2">
        <v>44588</v>
      </c>
      <c r="B44" t="s">
        <v>13</v>
      </c>
      <c r="C44" t="s">
        <v>14</v>
      </c>
      <c r="D44" t="s">
        <v>20</v>
      </c>
      <c r="E44" t="s">
        <v>78</v>
      </c>
      <c r="F44" s="1">
        <v>700.33099237963756</v>
      </c>
      <c r="G44" s="1">
        <v>784.42795829663385</v>
      </c>
      <c r="H44" s="1">
        <f>Table1[[#This Row],[Sales]]-Table1[[#This Row],[ Cost Price]]</f>
        <v>84.096965916996282</v>
      </c>
    </row>
    <row r="45" spans="1:8" x14ac:dyDescent="0.25">
      <c r="A45" s="2">
        <v>44589</v>
      </c>
      <c r="B45" t="s">
        <v>18</v>
      </c>
      <c r="C45" t="s">
        <v>14</v>
      </c>
      <c r="D45" t="s">
        <v>28</v>
      </c>
      <c r="E45" t="s">
        <v>79</v>
      </c>
      <c r="F45" s="1">
        <v>108.80283291526223</v>
      </c>
      <c r="G45" s="1">
        <v>132.90512861837161</v>
      </c>
      <c r="H45" s="1">
        <f>Table1[[#This Row],[Sales]]-Table1[[#This Row],[ Cost Price]]</f>
        <v>24.102295703109377</v>
      </c>
    </row>
    <row r="46" spans="1:8" x14ac:dyDescent="0.25">
      <c r="A46" s="2">
        <v>44590</v>
      </c>
      <c r="B46" t="s">
        <v>26</v>
      </c>
      <c r="C46" t="s">
        <v>14</v>
      </c>
      <c r="D46" t="s">
        <v>32</v>
      </c>
      <c r="E46" t="s">
        <v>80</v>
      </c>
      <c r="F46" s="1">
        <v>556.87870489433953</v>
      </c>
      <c r="G46" s="1">
        <v>657.34592675982424</v>
      </c>
      <c r="H46" s="1">
        <f>Table1[[#This Row],[Sales]]-Table1[[#This Row],[ Cost Price]]</f>
        <v>100.4672218654847</v>
      </c>
    </row>
    <row r="47" spans="1:8" x14ac:dyDescent="0.25">
      <c r="A47" s="2">
        <v>44591</v>
      </c>
      <c r="B47" t="s">
        <v>30</v>
      </c>
      <c r="C47" t="s">
        <v>14</v>
      </c>
      <c r="D47" t="s">
        <v>36</v>
      </c>
      <c r="E47" t="s">
        <v>81</v>
      </c>
      <c r="F47" s="1">
        <v>538.18754696802876</v>
      </c>
      <c r="G47" s="1">
        <v>659.23849363032832</v>
      </c>
      <c r="H47" s="1">
        <f>Table1[[#This Row],[Sales]]-Table1[[#This Row],[ Cost Price]]</f>
        <v>121.05094666229957</v>
      </c>
    </row>
    <row r="48" spans="1:8" x14ac:dyDescent="0.25">
      <c r="A48" s="2">
        <v>44592</v>
      </c>
      <c r="B48" t="s">
        <v>9</v>
      </c>
      <c r="C48" t="s">
        <v>40</v>
      </c>
      <c r="D48" t="s">
        <v>41</v>
      </c>
      <c r="E48" t="s">
        <v>82</v>
      </c>
      <c r="F48" s="1">
        <v>125.63080720348667</v>
      </c>
      <c r="G48" s="1">
        <v>233.75553327248633</v>
      </c>
      <c r="H48" s="1">
        <f>Table1[[#This Row],[Sales]]-Table1[[#This Row],[ Cost Price]]</f>
        <v>108.12472606899966</v>
      </c>
    </row>
    <row r="49" spans="1:8" x14ac:dyDescent="0.25">
      <c r="A49" s="2">
        <v>44593</v>
      </c>
      <c r="B49" t="s">
        <v>13</v>
      </c>
      <c r="C49" t="s">
        <v>23</v>
      </c>
      <c r="D49" t="s">
        <v>43</v>
      </c>
      <c r="E49" t="s">
        <v>83</v>
      </c>
      <c r="F49" s="1">
        <v>265.45760006293108</v>
      </c>
      <c r="G49" s="1">
        <v>306.96495441427402</v>
      </c>
      <c r="H49" s="1">
        <f>Table1[[#This Row],[Sales]]-Table1[[#This Row],[ Cost Price]]</f>
        <v>41.50735435134294</v>
      </c>
    </row>
    <row r="50" spans="1:8" x14ac:dyDescent="0.25">
      <c r="A50" s="2">
        <v>44594</v>
      </c>
      <c r="B50" t="s">
        <v>18</v>
      </c>
      <c r="C50" t="s">
        <v>10</v>
      </c>
      <c r="D50" t="s">
        <v>51</v>
      </c>
      <c r="E50" t="s">
        <v>84</v>
      </c>
      <c r="F50" s="1">
        <v>395.73855635597067</v>
      </c>
      <c r="G50" s="1">
        <v>398.96654920985878</v>
      </c>
      <c r="H50" s="1">
        <f>Table1[[#This Row],[Sales]]-Table1[[#This Row],[ Cost Price]]</f>
        <v>3.2279928538881109</v>
      </c>
    </row>
    <row r="51" spans="1:8" x14ac:dyDescent="0.25">
      <c r="A51" s="2">
        <v>44595</v>
      </c>
      <c r="B51" t="s">
        <v>26</v>
      </c>
      <c r="C51" t="s">
        <v>14</v>
      </c>
      <c r="D51" t="s">
        <v>53</v>
      </c>
      <c r="E51" t="s">
        <v>85</v>
      </c>
      <c r="F51" s="1">
        <v>300.54300949616288</v>
      </c>
      <c r="G51" s="1">
        <v>360.55680146364199</v>
      </c>
      <c r="H51" s="1">
        <f>Table1[[#This Row],[Sales]]-Table1[[#This Row],[ Cost Price]]</f>
        <v>60.013791967479108</v>
      </c>
    </row>
    <row r="52" spans="1:8" x14ac:dyDescent="0.25">
      <c r="A52" s="2">
        <v>44596</v>
      </c>
      <c r="B52" t="s">
        <v>30</v>
      </c>
      <c r="C52" t="s">
        <v>19</v>
      </c>
      <c r="D52" t="s">
        <v>45</v>
      </c>
      <c r="E52" t="s">
        <v>86</v>
      </c>
      <c r="F52" s="1">
        <v>185.54781986869938</v>
      </c>
      <c r="G52" s="1">
        <v>425.31379873399857</v>
      </c>
      <c r="H52" s="1">
        <f>Table1[[#This Row],[Sales]]-Table1[[#This Row],[ Cost Price]]</f>
        <v>239.76597886529919</v>
      </c>
    </row>
    <row r="53" spans="1:8" x14ac:dyDescent="0.25">
      <c r="A53" s="2">
        <v>44597</v>
      </c>
      <c r="B53" t="s">
        <v>9</v>
      </c>
      <c r="C53" t="s">
        <v>27</v>
      </c>
      <c r="D53" t="s">
        <v>56</v>
      </c>
      <c r="E53" t="s">
        <v>87</v>
      </c>
      <c r="F53" s="1">
        <v>128.44963218830839</v>
      </c>
      <c r="G53" s="1">
        <v>145.79120177533829</v>
      </c>
      <c r="H53" s="1">
        <f>Table1[[#This Row],[Sales]]-Table1[[#This Row],[ Cost Price]]</f>
        <v>17.341569587029909</v>
      </c>
    </row>
    <row r="54" spans="1:8" x14ac:dyDescent="0.25">
      <c r="A54" s="2">
        <v>44598</v>
      </c>
      <c r="B54" t="s">
        <v>9</v>
      </c>
      <c r="C54" t="s">
        <v>31</v>
      </c>
      <c r="D54" t="s">
        <v>38</v>
      </c>
      <c r="E54" t="s">
        <v>88</v>
      </c>
      <c r="F54" s="1">
        <v>486.09501042645473</v>
      </c>
      <c r="G54" s="1">
        <v>688.87855910738256</v>
      </c>
      <c r="H54" s="1">
        <f>Table1[[#This Row],[Sales]]-Table1[[#This Row],[ Cost Price]]</f>
        <v>202.78354868092782</v>
      </c>
    </row>
    <row r="55" spans="1:8" x14ac:dyDescent="0.25">
      <c r="A55" s="2">
        <v>44234</v>
      </c>
      <c r="B55" t="s">
        <v>9</v>
      </c>
      <c r="C55" t="s">
        <v>35</v>
      </c>
      <c r="D55" t="s">
        <v>66</v>
      </c>
      <c r="E55" t="s">
        <v>89</v>
      </c>
      <c r="F55" s="1">
        <v>873.68564334280961</v>
      </c>
      <c r="G55" s="1">
        <v>1078.7557146332588</v>
      </c>
      <c r="H55" s="1">
        <f>Table1[[#This Row],[Sales]]-Table1[[#This Row],[ Cost Price]]</f>
        <v>205.07007129044916</v>
      </c>
    </row>
    <row r="56" spans="1:8" x14ac:dyDescent="0.25">
      <c r="A56" s="2">
        <v>44235</v>
      </c>
      <c r="B56" t="s">
        <v>9</v>
      </c>
      <c r="C56" t="s">
        <v>40</v>
      </c>
      <c r="D56" t="s">
        <v>68</v>
      </c>
      <c r="E56" t="s">
        <v>90</v>
      </c>
      <c r="F56" s="1">
        <v>88.142290520605272</v>
      </c>
      <c r="G56" s="1">
        <v>242.34325847133852</v>
      </c>
      <c r="H56" s="1">
        <f>Table1[[#This Row],[Sales]]-Table1[[#This Row],[ Cost Price]]</f>
        <v>154.20096795073323</v>
      </c>
    </row>
    <row r="57" spans="1:8" x14ac:dyDescent="0.25">
      <c r="A57" s="2">
        <v>44236</v>
      </c>
      <c r="B57" t="s">
        <v>9</v>
      </c>
      <c r="C57" t="s">
        <v>40</v>
      </c>
      <c r="D57" t="s">
        <v>24</v>
      </c>
      <c r="E57" t="s">
        <v>91</v>
      </c>
      <c r="F57" s="1">
        <v>546.62496127397105</v>
      </c>
      <c r="G57" s="1">
        <v>675.51954112193005</v>
      </c>
      <c r="H57" s="1">
        <f>Table1[[#This Row],[Sales]]-Table1[[#This Row],[ Cost Price]]</f>
        <v>128.89457984795899</v>
      </c>
    </row>
    <row r="58" spans="1:8" x14ac:dyDescent="0.25">
      <c r="A58" s="2">
        <v>44237</v>
      </c>
      <c r="B58" t="s">
        <v>9</v>
      </c>
      <c r="C58" t="s">
        <v>40</v>
      </c>
      <c r="D58" t="s">
        <v>92</v>
      </c>
      <c r="E58" t="s">
        <v>93</v>
      </c>
      <c r="F58" s="1">
        <v>79.392902722363999</v>
      </c>
      <c r="G58" s="1">
        <v>210.99019605303059</v>
      </c>
      <c r="H58" s="1">
        <f>Table1[[#This Row],[Sales]]-Table1[[#This Row],[ Cost Price]]</f>
        <v>131.59729333066659</v>
      </c>
    </row>
    <row r="59" spans="1:8" x14ac:dyDescent="0.25">
      <c r="A59" s="2">
        <v>44297</v>
      </c>
      <c r="B59" t="s">
        <v>13</v>
      </c>
      <c r="C59" t="s">
        <v>10</v>
      </c>
      <c r="D59" t="s">
        <v>11</v>
      </c>
      <c r="E59" t="s">
        <v>94</v>
      </c>
      <c r="F59" s="1">
        <v>134.94925930175469</v>
      </c>
      <c r="G59" s="1">
        <v>251.82501063464787</v>
      </c>
      <c r="H59" s="1">
        <f>Table1[[#This Row],[Sales]]-Table1[[#This Row],[ Cost Price]]</f>
        <v>116.87575133289317</v>
      </c>
    </row>
    <row r="60" spans="1:8" x14ac:dyDescent="0.25">
      <c r="A60" s="2">
        <v>44297</v>
      </c>
      <c r="B60" t="s">
        <v>13</v>
      </c>
      <c r="C60" t="s">
        <v>14</v>
      </c>
      <c r="D60" t="s">
        <v>15</v>
      </c>
      <c r="E60" t="s">
        <v>95</v>
      </c>
      <c r="F60" s="1">
        <v>53.115481094310454</v>
      </c>
      <c r="G60" s="1">
        <v>274.38192219727313</v>
      </c>
      <c r="H60" s="1">
        <f>Table1[[#This Row],[Sales]]-Table1[[#This Row],[ Cost Price]]</f>
        <v>221.26644110296269</v>
      </c>
    </row>
    <row r="61" spans="1:8" x14ac:dyDescent="0.25">
      <c r="A61" s="2">
        <v>44238</v>
      </c>
      <c r="B61" t="s">
        <v>13</v>
      </c>
      <c r="C61" t="s">
        <v>40</v>
      </c>
      <c r="D61" t="s">
        <v>96</v>
      </c>
      <c r="E61" t="s">
        <v>97</v>
      </c>
      <c r="F61" s="1">
        <v>841.81169709047435</v>
      </c>
      <c r="G61" s="1">
        <v>930.18765161005558</v>
      </c>
      <c r="H61" s="1">
        <f>Table1[[#This Row],[Sales]]-Table1[[#This Row],[ Cost Price]]</f>
        <v>88.375954519581228</v>
      </c>
    </row>
    <row r="62" spans="1:8" x14ac:dyDescent="0.25">
      <c r="A62" s="2">
        <v>44239</v>
      </c>
      <c r="B62" t="s">
        <v>18</v>
      </c>
      <c r="C62" t="s">
        <v>40</v>
      </c>
      <c r="D62" t="s">
        <v>98</v>
      </c>
      <c r="E62" t="s">
        <v>99</v>
      </c>
      <c r="F62" s="1">
        <v>638.63978089601915</v>
      </c>
      <c r="G62" s="1">
        <v>760.50836613451963</v>
      </c>
      <c r="H62" s="1">
        <f>Table1[[#This Row],[Sales]]-Table1[[#This Row],[ Cost Price]]</f>
        <v>121.86858523850049</v>
      </c>
    </row>
    <row r="63" spans="1:8" x14ac:dyDescent="0.25">
      <c r="A63" s="2">
        <v>44240</v>
      </c>
      <c r="B63" t="s">
        <v>26</v>
      </c>
      <c r="C63" t="s">
        <v>27</v>
      </c>
      <c r="D63" t="s">
        <v>100</v>
      </c>
      <c r="E63" t="s">
        <v>101</v>
      </c>
      <c r="F63" s="1">
        <v>251.95720476432328</v>
      </c>
      <c r="G63" s="1">
        <v>406.93101387155644</v>
      </c>
      <c r="H63" s="1">
        <f>Table1[[#This Row],[Sales]]-Table1[[#This Row],[ Cost Price]]</f>
        <v>154.97380910723317</v>
      </c>
    </row>
    <row r="64" spans="1:8" x14ac:dyDescent="0.25">
      <c r="A64" s="2">
        <v>44241</v>
      </c>
      <c r="B64" t="s">
        <v>30</v>
      </c>
      <c r="C64" t="s">
        <v>31</v>
      </c>
      <c r="D64" t="s">
        <v>102</v>
      </c>
      <c r="E64" t="s">
        <v>103</v>
      </c>
      <c r="F64" s="1">
        <v>314.94360793496759</v>
      </c>
      <c r="G64" s="1">
        <v>419.85263182240226</v>
      </c>
      <c r="H64" s="1">
        <f>Table1[[#This Row],[Sales]]-Table1[[#This Row],[ Cost Price]]</f>
        <v>104.90902388743467</v>
      </c>
    </row>
    <row r="65" spans="1:8" x14ac:dyDescent="0.25">
      <c r="A65" s="2">
        <v>44242</v>
      </c>
      <c r="B65" t="s">
        <v>9</v>
      </c>
      <c r="C65" t="s">
        <v>35</v>
      </c>
      <c r="D65" t="s">
        <v>53</v>
      </c>
      <c r="E65" t="s">
        <v>104</v>
      </c>
      <c r="F65" s="1">
        <v>922.32496542991862</v>
      </c>
      <c r="G65" s="1">
        <v>993.19613223786973</v>
      </c>
      <c r="H65" s="1">
        <f>Table1[[#This Row],[Sales]]-Table1[[#This Row],[ Cost Price]]</f>
        <v>70.871166807951113</v>
      </c>
    </row>
    <row r="66" spans="1:8" x14ac:dyDescent="0.25">
      <c r="A66" s="2">
        <v>44243</v>
      </c>
      <c r="B66" t="s">
        <v>9</v>
      </c>
      <c r="C66" t="s">
        <v>40</v>
      </c>
      <c r="D66" t="s">
        <v>45</v>
      </c>
      <c r="E66" t="s">
        <v>105</v>
      </c>
      <c r="F66" s="1">
        <v>244.37128539616714</v>
      </c>
      <c r="G66" s="1">
        <v>320.31869015166791</v>
      </c>
      <c r="H66" s="1">
        <f>Table1[[#This Row],[Sales]]-Table1[[#This Row],[ Cost Price]]</f>
        <v>75.94740475550077</v>
      </c>
    </row>
    <row r="67" spans="1:8" x14ac:dyDescent="0.25">
      <c r="A67" s="2">
        <v>44244</v>
      </c>
      <c r="B67" t="s">
        <v>9</v>
      </c>
      <c r="C67" t="s">
        <v>23</v>
      </c>
      <c r="D67" t="s">
        <v>56</v>
      </c>
      <c r="E67" t="s">
        <v>106</v>
      </c>
      <c r="F67" s="1">
        <v>362.29468205518134</v>
      </c>
      <c r="G67" s="1">
        <v>634.94515147310085</v>
      </c>
      <c r="H67" s="1">
        <f>Table1[[#This Row],[Sales]]-Table1[[#This Row],[ Cost Price]]</f>
        <v>272.65046941791951</v>
      </c>
    </row>
    <row r="68" spans="1:8" x14ac:dyDescent="0.25">
      <c r="A68" s="2">
        <v>44245</v>
      </c>
      <c r="B68" t="s">
        <v>9</v>
      </c>
      <c r="C68" t="s">
        <v>10</v>
      </c>
      <c r="D68" t="s">
        <v>11</v>
      </c>
      <c r="E68" t="s">
        <v>107</v>
      </c>
      <c r="F68" s="1">
        <v>280.87360593598623</v>
      </c>
      <c r="G68" s="1">
        <v>506.68084859686132</v>
      </c>
      <c r="H68" s="1">
        <f>Table1[[#This Row],[Sales]]-Table1[[#This Row],[ Cost Price]]</f>
        <v>225.80724266087509</v>
      </c>
    </row>
    <row r="69" spans="1:8" x14ac:dyDescent="0.25">
      <c r="A69" s="2">
        <v>44246</v>
      </c>
      <c r="B69" t="s">
        <v>9</v>
      </c>
      <c r="C69" t="s">
        <v>14</v>
      </c>
      <c r="D69" t="s">
        <v>15</v>
      </c>
      <c r="E69" t="s">
        <v>108</v>
      </c>
      <c r="F69" s="1">
        <v>0.65478845207067593</v>
      </c>
      <c r="G69" s="1">
        <v>144.18960210863523</v>
      </c>
      <c r="H69" s="1">
        <f>Table1[[#This Row],[Sales]]-Table1[[#This Row],[ Cost Price]]</f>
        <v>143.53481365656455</v>
      </c>
    </row>
    <row r="70" spans="1:8" x14ac:dyDescent="0.25">
      <c r="A70" s="2">
        <v>44247</v>
      </c>
      <c r="B70" t="s">
        <v>9</v>
      </c>
      <c r="C70" t="s">
        <v>19</v>
      </c>
      <c r="D70" t="s">
        <v>20</v>
      </c>
      <c r="E70" t="s">
        <v>109</v>
      </c>
      <c r="F70" s="1">
        <v>821.72746072344535</v>
      </c>
      <c r="G70" s="1">
        <v>944.20974414008356</v>
      </c>
      <c r="H70" s="1">
        <f>Table1[[#This Row],[Sales]]-Table1[[#This Row],[ Cost Price]]</f>
        <v>122.48228341663821</v>
      </c>
    </row>
    <row r="71" spans="1:8" x14ac:dyDescent="0.25">
      <c r="A71" s="2">
        <v>44613</v>
      </c>
      <c r="B71" t="s">
        <v>9</v>
      </c>
      <c r="C71" t="s">
        <v>27</v>
      </c>
      <c r="D71" t="s">
        <v>28</v>
      </c>
      <c r="E71" t="s">
        <v>110</v>
      </c>
      <c r="F71" s="1">
        <v>293.40130416900712</v>
      </c>
      <c r="G71" s="1">
        <v>474.06175696542471</v>
      </c>
      <c r="H71" s="1">
        <f>Table1[[#This Row],[Sales]]-Table1[[#This Row],[ Cost Price]]</f>
        <v>180.66045279641759</v>
      </c>
    </row>
    <row r="72" spans="1:8" x14ac:dyDescent="0.25">
      <c r="A72" s="2">
        <v>44249</v>
      </c>
      <c r="B72" t="s">
        <v>9</v>
      </c>
      <c r="C72" t="s">
        <v>27</v>
      </c>
      <c r="D72" t="s">
        <v>32</v>
      </c>
      <c r="E72" t="s">
        <v>111</v>
      </c>
      <c r="F72" s="1">
        <v>60.755168937680359</v>
      </c>
      <c r="G72" s="1">
        <v>135.17672001555664</v>
      </c>
      <c r="H72" s="1">
        <f>Table1[[#This Row],[Sales]]-Table1[[#This Row],[ Cost Price]]</f>
        <v>74.421551077876273</v>
      </c>
    </row>
    <row r="73" spans="1:8" x14ac:dyDescent="0.25">
      <c r="A73" s="2">
        <v>44250</v>
      </c>
      <c r="B73" t="s">
        <v>9</v>
      </c>
      <c r="C73" t="s">
        <v>27</v>
      </c>
      <c r="D73" t="s">
        <v>36</v>
      </c>
      <c r="E73" t="s">
        <v>112</v>
      </c>
      <c r="F73" s="1">
        <v>298.73184538832601</v>
      </c>
      <c r="G73" s="1">
        <v>326.52423607961953</v>
      </c>
      <c r="H73" s="1">
        <f>Table1[[#This Row],[Sales]]-Table1[[#This Row],[ Cost Price]]</f>
        <v>27.792390691293519</v>
      </c>
    </row>
    <row r="74" spans="1:8" x14ac:dyDescent="0.25">
      <c r="A74" s="2">
        <v>44616</v>
      </c>
      <c r="B74" t="s">
        <v>9</v>
      </c>
      <c r="C74" t="s">
        <v>27</v>
      </c>
      <c r="D74" t="s">
        <v>41</v>
      </c>
      <c r="E74" t="s">
        <v>113</v>
      </c>
      <c r="F74" s="1">
        <v>631.19318847352122</v>
      </c>
      <c r="G74" s="1">
        <v>900.36562210928821</v>
      </c>
      <c r="H74" s="1">
        <f>Table1[[#This Row],[Sales]]-Table1[[#This Row],[ Cost Price]]</f>
        <v>269.17243363576699</v>
      </c>
    </row>
    <row r="75" spans="1:8" x14ac:dyDescent="0.25">
      <c r="A75" s="2">
        <v>44252</v>
      </c>
      <c r="B75" t="s">
        <v>9</v>
      </c>
      <c r="C75" t="s">
        <v>27</v>
      </c>
      <c r="D75" t="s">
        <v>43</v>
      </c>
      <c r="E75" t="s">
        <v>114</v>
      </c>
      <c r="F75" s="1">
        <v>366.149662045409</v>
      </c>
      <c r="G75" s="1">
        <v>490.63348382327774</v>
      </c>
      <c r="H75" s="1">
        <f>Table1[[#This Row],[Sales]]-Table1[[#This Row],[ Cost Price]]</f>
        <v>124.48382177786874</v>
      </c>
    </row>
    <row r="76" spans="1:8" x14ac:dyDescent="0.25">
      <c r="A76" s="2">
        <v>44618</v>
      </c>
      <c r="B76" t="s">
        <v>13</v>
      </c>
      <c r="C76" t="s">
        <v>27</v>
      </c>
      <c r="D76" t="s">
        <v>51</v>
      </c>
      <c r="E76" t="s">
        <v>115</v>
      </c>
      <c r="F76" s="1">
        <v>652.13996433007151</v>
      </c>
      <c r="G76" s="1">
        <v>831.92112403304395</v>
      </c>
      <c r="H76" s="1">
        <f>Table1[[#This Row],[Sales]]-Table1[[#This Row],[ Cost Price]]</f>
        <v>179.78115970297245</v>
      </c>
    </row>
    <row r="77" spans="1:8" x14ac:dyDescent="0.25">
      <c r="A77" s="2">
        <v>44254</v>
      </c>
      <c r="B77" t="s">
        <v>18</v>
      </c>
      <c r="C77" t="s">
        <v>27</v>
      </c>
      <c r="D77" t="s">
        <v>53</v>
      </c>
      <c r="E77" t="s">
        <v>116</v>
      </c>
      <c r="F77" s="1">
        <v>564.98439049080719</v>
      </c>
      <c r="G77" s="1">
        <v>745.65768908423786</v>
      </c>
      <c r="H77" s="1">
        <f>Table1[[#This Row],[Sales]]-Table1[[#This Row],[ Cost Price]]</f>
        <v>180.67329859343067</v>
      </c>
    </row>
    <row r="78" spans="1:8" x14ac:dyDescent="0.25">
      <c r="A78" s="2">
        <v>44255</v>
      </c>
      <c r="B78" t="s">
        <v>26</v>
      </c>
      <c r="C78" t="s">
        <v>27</v>
      </c>
      <c r="D78" t="s">
        <v>45</v>
      </c>
      <c r="E78" t="s">
        <v>117</v>
      </c>
      <c r="F78" s="1">
        <v>1234.4466603994183</v>
      </c>
      <c r="G78" s="1">
        <v>1337.5783129901545</v>
      </c>
      <c r="H78" s="1">
        <f>Table1[[#This Row],[Sales]]-Table1[[#This Row],[ Cost Price]]</f>
        <v>103.13165259073617</v>
      </c>
    </row>
    <row r="79" spans="1:8" x14ac:dyDescent="0.25">
      <c r="A79" s="2">
        <v>44621</v>
      </c>
      <c r="B79" t="s">
        <v>13</v>
      </c>
      <c r="C79" t="s">
        <v>35</v>
      </c>
      <c r="D79" t="s">
        <v>53</v>
      </c>
      <c r="E79" t="s">
        <v>75</v>
      </c>
      <c r="F79" s="1">
        <v>523.71307437979885</v>
      </c>
      <c r="G79" s="1">
        <v>662.46844951781645</v>
      </c>
      <c r="H79" s="1">
        <f>Table1[[#This Row],[Sales]]-Table1[[#This Row],[ Cost Price]]</f>
        <v>138.7553751380176</v>
      </c>
    </row>
    <row r="80" spans="1:8" x14ac:dyDescent="0.25">
      <c r="A80" s="2">
        <v>44256</v>
      </c>
      <c r="B80" t="s">
        <v>30</v>
      </c>
      <c r="C80" t="s">
        <v>27</v>
      </c>
      <c r="D80" t="s">
        <v>56</v>
      </c>
      <c r="E80" t="s">
        <v>118</v>
      </c>
      <c r="F80" s="1">
        <v>932.74490587208436</v>
      </c>
      <c r="G80" s="1">
        <v>1080.3930031944155</v>
      </c>
      <c r="H80" s="1">
        <f>Table1[[#This Row],[Sales]]-Table1[[#This Row],[ Cost Price]]</f>
        <v>147.64809732233118</v>
      </c>
    </row>
    <row r="81" spans="1:8" x14ac:dyDescent="0.25">
      <c r="A81" s="2">
        <v>44257</v>
      </c>
      <c r="B81" t="s">
        <v>9</v>
      </c>
      <c r="C81" t="s">
        <v>27</v>
      </c>
      <c r="D81" t="s">
        <v>38</v>
      </c>
      <c r="E81" t="s">
        <v>119</v>
      </c>
      <c r="F81" s="1">
        <v>374.92130055122931</v>
      </c>
      <c r="G81" s="1">
        <v>484.73484964983197</v>
      </c>
      <c r="H81" s="1">
        <f>Table1[[#This Row],[Sales]]-Table1[[#This Row],[ Cost Price]]</f>
        <v>109.81354909860266</v>
      </c>
    </row>
    <row r="82" spans="1:8" x14ac:dyDescent="0.25">
      <c r="A82" s="2">
        <v>44623</v>
      </c>
      <c r="B82" t="s">
        <v>13</v>
      </c>
      <c r="C82" t="s">
        <v>27</v>
      </c>
      <c r="D82" t="s">
        <v>15</v>
      </c>
      <c r="E82" t="s">
        <v>58</v>
      </c>
      <c r="F82" s="1">
        <v>624.72538600390703</v>
      </c>
      <c r="G82" s="1">
        <v>645.37022515154558</v>
      </c>
      <c r="H82" s="1">
        <f>Table1[[#This Row],[Sales]]-Table1[[#This Row],[ Cost Price]]</f>
        <v>20.64483914763855</v>
      </c>
    </row>
    <row r="83" spans="1:8" x14ac:dyDescent="0.25">
      <c r="A83" s="2">
        <v>44259</v>
      </c>
      <c r="B83" t="s">
        <v>18</v>
      </c>
      <c r="C83" t="s">
        <v>27</v>
      </c>
      <c r="D83" t="s">
        <v>20</v>
      </c>
      <c r="E83" t="s">
        <v>59</v>
      </c>
      <c r="F83" s="1">
        <v>270.93640335511071</v>
      </c>
      <c r="G83" s="1">
        <v>306.37409605843436</v>
      </c>
      <c r="H83" s="1">
        <f>Table1[[#This Row],[Sales]]-Table1[[#This Row],[ Cost Price]]</f>
        <v>35.437692703323648</v>
      </c>
    </row>
    <row r="84" spans="1:8" x14ac:dyDescent="0.25">
      <c r="A84" s="2">
        <v>44260</v>
      </c>
      <c r="B84" t="s">
        <v>30</v>
      </c>
      <c r="C84" t="s">
        <v>27</v>
      </c>
      <c r="D84" t="s">
        <v>28</v>
      </c>
      <c r="E84" t="s">
        <v>60</v>
      </c>
      <c r="F84" s="1">
        <v>274.18145170974475</v>
      </c>
      <c r="G84" s="1">
        <v>479.50776431743282</v>
      </c>
      <c r="H84" s="1">
        <f>Table1[[#This Row],[Sales]]-Table1[[#This Row],[ Cost Price]]</f>
        <v>205.32631260768807</v>
      </c>
    </row>
    <row r="85" spans="1:8" x14ac:dyDescent="0.25">
      <c r="A85" s="2">
        <v>44261</v>
      </c>
      <c r="B85" t="s">
        <v>30</v>
      </c>
      <c r="C85" t="s">
        <v>27</v>
      </c>
      <c r="D85" t="s">
        <v>32</v>
      </c>
      <c r="E85" t="s">
        <v>61</v>
      </c>
      <c r="F85" s="1">
        <v>855.98353787739961</v>
      </c>
      <c r="G85" s="1">
        <v>1020.8395410561795</v>
      </c>
      <c r="H85" s="1">
        <f>Table1[[#This Row],[Sales]]-Table1[[#This Row],[ Cost Price]]</f>
        <v>164.85600317877993</v>
      </c>
    </row>
    <row r="86" spans="1:8" x14ac:dyDescent="0.25">
      <c r="A86" s="2">
        <v>44627</v>
      </c>
      <c r="B86" t="s">
        <v>30</v>
      </c>
      <c r="C86" t="s">
        <v>27</v>
      </c>
      <c r="D86" t="s">
        <v>36</v>
      </c>
      <c r="E86" t="s">
        <v>62</v>
      </c>
      <c r="F86" s="1">
        <v>592.03969294249237</v>
      </c>
      <c r="G86" s="1">
        <v>690.28967014896898</v>
      </c>
      <c r="H86" s="1">
        <f>Table1[[#This Row],[Sales]]-Table1[[#This Row],[ Cost Price]]</f>
        <v>98.249977206476615</v>
      </c>
    </row>
    <row r="87" spans="1:8" x14ac:dyDescent="0.25">
      <c r="A87" s="2">
        <v>44263</v>
      </c>
      <c r="B87" t="s">
        <v>30</v>
      </c>
      <c r="C87" t="s">
        <v>27</v>
      </c>
      <c r="D87" t="s">
        <v>41</v>
      </c>
      <c r="E87" t="s">
        <v>63</v>
      </c>
      <c r="F87" s="1">
        <v>852.60731912759559</v>
      </c>
      <c r="G87" s="1">
        <v>908.4293681386556</v>
      </c>
      <c r="H87" s="1">
        <f>Table1[[#This Row],[Sales]]-Table1[[#This Row],[ Cost Price]]</f>
        <v>55.822049011060017</v>
      </c>
    </row>
    <row r="88" spans="1:8" x14ac:dyDescent="0.25">
      <c r="A88" s="2">
        <v>44264</v>
      </c>
      <c r="B88" t="s">
        <v>30</v>
      </c>
      <c r="C88" t="s">
        <v>27</v>
      </c>
      <c r="D88" t="s">
        <v>43</v>
      </c>
      <c r="E88" t="s">
        <v>64</v>
      </c>
      <c r="F88" s="1">
        <v>108.72861642412337</v>
      </c>
      <c r="G88" s="1">
        <v>183.19917685915925</v>
      </c>
      <c r="H88" s="1">
        <f>Table1[[#This Row],[Sales]]-Table1[[#This Row],[ Cost Price]]</f>
        <v>74.470560435035878</v>
      </c>
    </row>
    <row r="89" spans="1:8" x14ac:dyDescent="0.25">
      <c r="A89" s="2">
        <v>44265</v>
      </c>
      <c r="B89" t="s">
        <v>30</v>
      </c>
      <c r="C89" t="s">
        <v>31</v>
      </c>
      <c r="D89" t="s">
        <v>51</v>
      </c>
      <c r="E89" t="s">
        <v>120</v>
      </c>
      <c r="F89" s="1">
        <v>30.66694898976484</v>
      </c>
      <c r="G89" s="1">
        <v>83.520214102892908</v>
      </c>
      <c r="H89" s="1">
        <f>Table1[[#This Row],[Sales]]-Table1[[#This Row],[ Cost Price]]</f>
        <v>52.853265113128067</v>
      </c>
    </row>
    <row r="90" spans="1:8" x14ac:dyDescent="0.25">
      <c r="A90" s="2">
        <v>44631</v>
      </c>
      <c r="B90" t="s">
        <v>30</v>
      </c>
      <c r="C90" t="s">
        <v>35</v>
      </c>
      <c r="D90" t="s">
        <v>53</v>
      </c>
      <c r="E90" t="s">
        <v>121</v>
      </c>
      <c r="F90" s="1">
        <v>64.770083708056774</v>
      </c>
      <c r="G90" s="1">
        <v>107.84722305243554</v>
      </c>
      <c r="H90" s="1">
        <f>Table1[[#This Row],[Sales]]-Table1[[#This Row],[ Cost Price]]</f>
        <v>43.077139344378764</v>
      </c>
    </row>
    <row r="91" spans="1:8" x14ac:dyDescent="0.25">
      <c r="A91" s="2">
        <v>44267</v>
      </c>
      <c r="B91" t="s">
        <v>9</v>
      </c>
      <c r="C91" t="s">
        <v>40</v>
      </c>
      <c r="D91" t="s">
        <v>45</v>
      </c>
      <c r="E91" t="s">
        <v>122</v>
      </c>
      <c r="F91" s="1">
        <v>343.92295405243601</v>
      </c>
      <c r="G91" s="1">
        <v>472.66038760066556</v>
      </c>
      <c r="H91" s="1">
        <f>Table1[[#This Row],[Sales]]-Table1[[#This Row],[ Cost Price]]</f>
        <v>128.73743354822955</v>
      </c>
    </row>
    <row r="92" spans="1:8" x14ac:dyDescent="0.25">
      <c r="A92" s="2">
        <v>44633</v>
      </c>
      <c r="B92" t="s">
        <v>13</v>
      </c>
      <c r="C92" t="s">
        <v>23</v>
      </c>
      <c r="D92" t="s">
        <v>56</v>
      </c>
      <c r="E92" t="s">
        <v>123</v>
      </c>
      <c r="F92" s="1">
        <v>408.77421547678767</v>
      </c>
      <c r="G92" s="1">
        <v>475.93759376383503</v>
      </c>
      <c r="H92" s="1">
        <f>Table1[[#This Row],[Sales]]-Table1[[#This Row],[ Cost Price]]</f>
        <v>67.163378287047351</v>
      </c>
    </row>
    <row r="93" spans="1:8" x14ac:dyDescent="0.25">
      <c r="A93" s="2">
        <v>44269</v>
      </c>
      <c r="B93" t="s">
        <v>18</v>
      </c>
      <c r="C93" t="s">
        <v>10</v>
      </c>
      <c r="D93" t="s">
        <v>38</v>
      </c>
      <c r="E93" t="s">
        <v>124</v>
      </c>
      <c r="F93" s="1">
        <v>313.95878005967313</v>
      </c>
      <c r="G93" s="1">
        <v>413.37052083751155</v>
      </c>
      <c r="H93" s="1">
        <f>Table1[[#This Row],[Sales]]-Table1[[#This Row],[ Cost Price]]</f>
        <v>99.411740777838418</v>
      </c>
    </row>
    <row r="94" spans="1:8" x14ac:dyDescent="0.25">
      <c r="A94" s="2">
        <v>44270</v>
      </c>
      <c r="B94" t="s">
        <v>26</v>
      </c>
      <c r="C94" t="s">
        <v>14</v>
      </c>
      <c r="D94" t="s">
        <v>66</v>
      </c>
      <c r="E94" t="s">
        <v>125</v>
      </c>
      <c r="F94" s="1">
        <v>128.07036783774231</v>
      </c>
      <c r="G94" s="1">
        <v>289.06659486930079</v>
      </c>
      <c r="H94" s="1">
        <f>Table1[[#This Row],[Sales]]-Table1[[#This Row],[ Cost Price]]</f>
        <v>160.99622703155848</v>
      </c>
    </row>
    <row r="95" spans="1:8" x14ac:dyDescent="0.25">
      <c r="A95" s="2">
        <v>44271</v>
      </c>
      <c r="B95" t="s">
        <v>30</v>
      </c>
      <c r="C95" t="s">
        <v>19</v>
      </c>
      <c r="D95" t="s">
        <v>68</v>
      </c>
      <c r="E95" t="s">
        <v>126</v>
      </c>
      <c r="F95" s="1">
        <v>870.0661830067063</v>
      </c>
      <c r="G95" s="1">
        <v>1104.1401887635561</v>
      </c>
      <c r="H95" s="1">
        <f>Table1[[#This Row],[Sales]]-Table1[[#This Row],[ Cost Price]]</f>
        <v>234.07400575684983</v>
      </c>
    </row>
    <row r="96" spans="1:8" x14ac:dyDescent="0.25">
      <c r="A96" s="2">
        <v>44637</v>
      </c>
      <c r="B96" t="s">
        <v>9</v>
      </c>
      <c r="C96" t="s">
        <v>27</v>
      </c>
      <c r="D96" t="s">
        <v>28</v>
      </c>
      <c r="E96" t="s">
        <v>127</v>
      </c>
      <c r="F96" s="1">
        <v>583.66556080622468</v>
      </c>
      <c r="G96" s="1">
        <v>756.84504810222302</v>
      </c>
      <c r="H96" s="1">
        <f>Table1[[#This Row],[Sales]]-Table1[[#This Row],[ Cost Price]]</f>
        <v>173.17948729599834</v>
      </c>
    </row>
    <row r="97" spans="1:8" x14ac:dyDescent="0.25">
      <c r="A97" s="2">
        <v>44273</v>
      </c>
      <c r="B97" t="s">
        <v>13</v>
      </c>
      <c r="C97" t="s">
        <v>31</v>
      </c>
      <c r="D97" t="s">
        <v>32</v>
      </c>
      <c r="E97" t="s">
        <v>128</v>
      </c>
      <c r="F97" s="1">
        <v>58.679435892588536</v>
      </c>
      <c r="G97" s="1">
        <v>289.95026123852136</v>
      </c>
      <c r="H97" s="1">
        <f>Table1[[#This Row],[Sales]]-Table1[[#This Row],[ Cost Price]]</f>
        <v>231.27082534593282</v>
      </c>
    </row>
    <row r="98" spans="1:8" x14ac:dyDescent="0.25">
      <c r="A98" s="2">
        <v>44639</v>
      </c>
      <c r="B98" t="s">
        <v>13</v>
      </c>
      <c r="C98" t="s">
        <v>35</v>
      </c>
      <c r="D98" t="s">
        <v>36</v>
      </c>
      <c r="E98" t="s">
        <v>129</v>
      </c>
      <c r="F98" s="1">
        <v>57.541288207765547</v>
      </c>
      <c r="G98" s="1">
        <v>236.01666936882512</v>
      </c>
      <c r="H98" s="1">
        <f>Table1[[#This Row],[Sales]]-Table1[[#This Row],[ Cost Price]]</f>
        <v>178.47538116105957</v>
      </c>
    </row>
    <row r="99" spans="1:8" x14ac:dyDescent="0.25">
      <c r="A99" s="2">
        <v>44275</v>
      </c>
      <c r="B99" t="s">
        <v>13</v>
      </c>
      <c r="C99" t="s">
        <v>40</v>
      </c>
      <c r="D99" t="s">
        <v>32</v>
      </c>
      <c r="E99" t="s">
        <v>130</v>
      </c>
      <c r="F99" s="1">
        <v>554.71146470342842</v>
      </c>
      <c r="G99" s="1">
        <v>660.86937260590923</v>
      </c>
      <c r="H99" s="1">
        <f>Table1[[#This Row],[Sales]]-Table1[[#This Row],[ Cost Price]]</f>
        <v>106.15790790248082</v>
      </c>
    </row>
    <row r="100" spans="1:8" x14ac:dyDescent="0.25">
      <c r="A100" s="2">
        <v>44276</v>
      </c>
      <c r="B100" t="s">
        <v>13</v>
      </c>
      <c r="C100" t="s">
        <v>23</v>
      </c>
      <c r="D100" t="s">
        <v>28</v>
      </c>
      <c r="E100" t="s">
        <v>131</v>
      </c>
      <c r="F100" s="1">
        <v>64.721482660721193</v>
      </c>
      <c r="G100" s="1">
        <v>214.19985975351688</v>
      </c>
      <c r="H100" s="1">
        <f>Table1[[#This Row],[Sales]]-Table1[[#This Row],[ Cost Price]]</f>
        <v>149.47837709279568</v>
      </c>
    </row>
    <row r="101" spans="1:8" x14ac:dyDescent="0.25">
      <c r="A101" s="2">
        <v>44642</v>
      </c>
      <c r="B101" t="s">
        <v>13</v>
      </c>
      <c r="C101" t="s">
        <v>10</v>
      </c>
      <c r="D101" t="s">
        <v>20</v>
      </c>
      <c r="E101" t="s">
        <v>132</v>
      </c>
      <c r="F101" s="1">
        <v>590.67668417332709</v>
      </c>
      <c r="G101" s="1">
        <v>733.22752554592728</v>
      </c>
      <c r="H101" s="1">
        <f>Table1[[#This Row],[Sales]]-Table1[[#This Row],[ Cost Price]]</f>
        <v>142.55084137260019</v>
      </c>
    </row>
    <row r="102" spans="1:8" x14ac:dyDescent="0.25">
      <c r="A102" s="2">
        <v>44278</v>
      </c>
      <c r="B102" t="s">
        <v>13</v>
      </c>
      <c r="C102" t="s">
        <v>14</v>
      </c>
      <c r="D102" t="s">
        <v>15</v>
      </c>
      <c r="E102" t="s">
        <v>17</v>
      </c>
      <c r="F102" s="1">
        <v>541.2354935492416</v>
      </c>
      <c r="G102" s="1">
        <v>789.83277445941997</v>
      </c>
      <c r="H102" s="1">
        <f>Table1[[#This Row],[Sales]]-Table1[[#This Row],[ Cost Price]]</f>
        <v>248.59728091017837</v>
      </c>
    </row>
    <row r="103" spans="1:8" x14ac:dyDescent="0.25">
      <c r="A103" s="2">
        <v>44279</v>
      </c>
      <c r="B103" t="s">
        <v>13</v>
      </c>
      <c r="C103" t="s">
        <v>19</v>
      </c>
      <c r="D103" t="s">
        <v>11</v>
      </c>
      <c r="E103" t="s">
        <v>133</v>
      </c>
      <c r="F103" s="1">
        <v>116.07445169772626</v>
      </c>
      <c r="G103" s="1">
        <v>222.41848431059998</v>
      </c>
      <c r="H103" s="1">
        <f>Table1[[#This Row],[Sales]]-Table1[[#This Row],[ Cost Price]]</f>
        <v>106.34403261287372</v>
      </c>
    </row>
    <row r="104" spans="1:8" x14ac:dyDescent="0.25">
      <c r="A104" s="2">
        <v>44280</v>
      </c>
      <c r="B104" t="s">
        <v>13</v>
      </c>
      <c r="C104" t="s">
        <v>19</v>
      </c>
      <c r="D104" t="s">
        <v>134</v>
      </c>
      <c r="E104" t="s">
        <v>135</v>
      </c>
      <c r="F104" s="1">
        <v>469.59338903374794</v>
      </c>
      <c r="G104" s="1">
        <v>580.8900205139837</v>
      </c>
      <c r="H104" s="1">
        <f>Table1[[#This Row],[Sales]]-Table1[[#This Row],[ Cost Price]]</f>
        <v>111.29663148023576</v>
      </c>
    </row>
    <row r="105" spans="1:8" x14ac:dyDescent="0.25">
      <c r="A105" s="2">
        <v>44281</v>
      </c>
      <c r="B105" t="s">
        <v>13</v>
      </c>
      <c r="C105" t="s">
        <v>19</v>
      </c>
      <c r="D105" t="s">
        <v>11</v>
      </c>
      <c r="E105" t="s">
        <v>136</v>
      </c>
      <c r="F105" s="1">
        <v>577.58027206873248</v>
      </c>
      <c r="G105" s="1">
        <v>834.24203323455595</v>
      </c>
      <c r="H105" s="1">
        <f>Table1[[#This Row],[Sales]]-Table1[[#This Row],[ Cost Price]]</f>
        <v>256.66176116582346</v>
      </c>
    </row>
    <row r="106" spans="1:8" x14ac:dyDescent="0.25">
      <c r="A106" s="2">
        <v>44282</v>
      </c>
      <c r="B106" t="s">
        <v>13</v>
      </c>
      <c r="C106" t="s">
        <v>19</v>
      </c>
      <c r="D106" t="s">
        <v>15</v>
      </c>
      <c r="E106" t="s">
        <v>137</v>
      </c>
      <c r="F106" s="1">
        <v>232.3804525281592</v>
      </c>
      <c r="G106" s="1">
        <v>258.88257475735679</v>
      </c>
      <c r="H106" s="1">
        <f>Table1[[#This Row],[Sales]]-Table1[[#This Row],[ Cost Price]]</f>
        <v>26.502122229197596</v>
      </c>
    </row>
    <row r="107" spans="1:8" x14ac:dyDescent="0.25">
      <c r="A107" s="2">
        <v>44283</v>
      </c>
      <c r="B107" t="s">
        <v>13</v>
      </c>
      <c r="C107" t="s">
        <v>19</v>
      </c>
      <c r="D107" t="s">
        <v>20</v>
      </c>
      <c r="E107" t="s">
        <v>138</v>
      </c>
      <c r="F107" s="1">
        <v>232.12712580069643</v>
      </c>
      <c r="G107" s="1">
        <v>232.18279362844808</v>
      </c>
      <c r="H107" s="1">
        <f>Table1[[#This Row],[Sales]]-Table1[[#This Row],[ Cost Price]]</f>
        <v>5.5667827751648247E-2</v>
      </c>
    </row>
    <row r="108" spans="1:8" x14ac:dyDescent="0.25">
      <c r="A108" s="2">
        <v>44284</v>
      </c>
      <c r="B108" t="s">
        <v>18</v>
      </c>
      <c r="C108" t="s">
        <v>19</v>
      </c>
      <c r="D108" t="s">
        <v>28</v>
      </c>
      <c r="E108" t="s">
        <v>139</v>
      </c>
      <c r="F108" s="1">
        <v>856.89750890919163</v>
      </c>
      <c r="G108" s="1">
        <v>1060.1438738052609</v>
      </c>
      <c r="H108" s="1">
        <f>Table1[[#This Row],[Sales]]-Table1[[#This Row],[ Cost Price]]</f>
        <v>203.24636489606928</v>
      </c>
    </row>
    <row r="109" spans="1:8" x14ac:dyDescent="0.25">
      <c r="A109" s="2">
        <v>44285</v>
      </c>
      <c r="B109" t="s">
        <v>26</v>
      </c>
      <c r="C109" t="s">
        <v>19</v>
      </c>
      <c r="D109" t="s">
        <v>32</v>
      </c>
      <c r="E109" t="s">
        <v>140</v>
      </c>
      <c r="F109" s="1">
        <v>410.27293781620216</v>
      </c>
      <c r="G109" s="1">
        <v>629.88195292324758</v>
      </c>
      <c r="H109" s="1">
        <f>Table1[[#This Row],[Sales]]-Table1[[#This Row],[ Cost Price]]</f>
        <v>219.60901510704542</v>
      </c>
    </row>
    <row r="110" spans="1:8" x14ac:dyDescent="0.25">
      <c r="A110" s="2">
        <v>44286</v>
      </c>
      <c r="B110" t="s">
        <v>30</v>
      </c>
      <c r="C110" t="s">
        <v>19</v>
      </c>
      <c r="D110" t="s">
        <v>36</v>
      </c>
      <c r="E110" t="s">
        <v>141</v>
      </c>
      <c r="F110" s="1">
        <v>504.71349551608995</v>
      </c>
      <c r="G110" s="1">
        <v>602.67548231607134</v>
      </c>
      <c r="H110" s="1">
        <f>Table1[[#This Row],[Sales]]-Table1[[#This Row],[ Cost Price]]</f>
        <v>97.961986799981389</v>
      </c>
    </row>
    <row r="111" spans="1:8" x14ac:dyDescent="0.25">
      <c r="A111" s="2">
        <v>44287</v>
      </c>
      <c r="B111" t="s">
        <v>9</v>
      </c>
      <c r="C111" t="s">
        <v>19</v>
      </c>
      <c r="D111" t="s">
        <v>41</v>
      </c>
      <c r="E111" t="s">
        <v>142</v>
      </c>
      <c r="F111" s="1">
        <v>50.438601398756091</v>
      </c>
      <c r="G111" s="1">
        <v>165.26855329770086</v>
      </c>
      <c r="H111" s="1">
        <f>Table1[[#This Row],[Sales]]-Table1[[#This Row],[ Cost Price]]</f>
        <v>114.82995189894477</v>
      </c>
    </row>
    <row r="112" spans="1:8" x14ac:dyDescent="0.25">
      <c r="A112" s="2">
        <v>44288</v>
      </c>
      <c r="B112" t="s">
        <v>13</v>
      </c>
      <c r="C112" t="s">
        <v>19</v>
      </c>
      <c r="D112" t="s">
        <v>43</v>
      </c>
      <c r="E112" t="s">
        <v>143</v>
      </c>
      <c r="F112" s="1">
        <v>73.420067672998059</v>
      </c>
      <c r="G112" s="1">
        <v>239.40286803151645</v>
      </c>
      <c r="H112" s="1">
        <f>Table1[[#This Row],[Sales]]-Table1[[#This Row],[ Cost Price]]</f>
        <v>165.98280035851838</v>
      </c>
    </row>
    <row r="113" spans="1:8" x14ac:dyDescent="0.25">
      <c r="A113" s="2">
        <v>44289</v>
      </c>
      <c r="B113" t="s">
        <v>18</v>
      </c>
      <c r="C113" t="s">
        <v>19</v>
      </c>
      <c r="D113" t="s">
        <v>51</v>
      </c>
      <c r="E113" t="s">
        <v>144</v>
      </c>
      <c r="F113" s="1">
        <v>343.68369018895623</v>
      </c>
      <c r="G113" s="1">
        <v>492.02773181723762</v>
      </c>
      <c r="H113" s="1">
        <f>Table1[[#This Row],[Sales]]-Table1[[#This Row],[ Cost Price]]</f>
        <v>148.34404162828139</v>
      </c>
    </row>
    <row r="114" spans="1:8" x14ac:dyDescent="0.25">
      <c r="A114" s="2">
        <v>44655</v>
      </c>
      <c r="B114" t="s">
        <v>26</v>
      </c>
      <c r="C114" t="s">
        <v>35</v>
      </c>
      <c r="D114" t="s">
        <v>53</v>
      </c>
      <c r="E114" t="s">
        <v>145</v>
      </c>
      <c r="F114" s="1">
        <v>1038.2091297314744</v>
      </c>
      <c r="G114" s="1">
        <v>1055.7121514905391</v>
      </c>
      <c r="H114" s="1">
        <f>Table1[[#This Row],[Sales]]-Table1[[#This Row],[ Cost Price]]</f>
        <v>17.503021759064723</v>
      </c>
    </row>
    <row r="115" spans="1:8" x14ac:dyDescent="0.25">
      <c r="A115" s="2">
        <v>44291</v>
      </c>
      <c r="B115" t="s">
        <v>26</v>
      </c>
      <c r="C115" t="s">
        <v>40</v>
      </c>
      <c r="D115" t="s">
        <v>45</v>
      </c>
      <c r="E115" t="s">
        <v>146</v>
      </c>
      <c r="F115" s="1">
        <v>430.44190053759496</v>
      </c>
      <c r="G115" s="1">
        <v>486.78801285849909</v>
      </c>
      <c r="H115" s="1">
        <f>Table1[[#This Row],[Sales]]-Table1[[#This Row],[ Cost Price]]</f>
        <v>56.346112320904126</v>
      </c>
    </row>
    <row r="116" spans="1:8" x14ac:dyDescent="0.25">
      <c r="A116" s="2">
        <v>44292</v>
      </c>
      <c r="B116" t="s">
        <v>26</v>
      </c>
      <c r="C116" t="s">
        <v>23</v>
      </c>
      <c r="D116" t="s">
        <v>56</v>
      </c>
      <c r="E116" t="s">
        <v>147</v>
      </c>
      <c r="F116" s="1">
        <v>1392.1366777762987</v>
      </c>
      <c r="G116" s="1">
        <v>1436.9246083969792</v>
      </c>
      <c r="H116" s="1">
        <f>Table1[[#This Row],[Sales]]-Table1[[#This Row],[ Cost Price]]</f>
        <v>44.787930620680527</v>
      </c>
    </row>
    <row r="117" spans="1:8" x14ac:dyDescent="0.25">
      <c r="A117" s="2">
        <v>44658</v>
      </c>
      <c r="B117" t="s">
        <v>26</v>
      </c>
      <c r="C117" t="s">
        <v>10</v>
      </c>
      <c r="D117" t="s">
        <v>38</v>
      </c>
      <c r="E117" t="s">
        <v>148</v>
      </c>
      <c r="F117" s="1">
        <v>225.37246987963374</v>
      </c>
      <c r="G117" s="1">
        <v>240.07377168516933</v>
      </c>
      <c r="H117" s="1">
        <f>Table1[[#This Row],[Sales]]-Table1[[#This Row],[ Cost Price]]</f>
        <v>14.701301805535593</v>
      </c>
    </row>
    <row r="118" spans="1:8" x14ac:dyDescent="0.25">
      <c r="A118" s="2">
        <v>44294</v>
      </c>
      <c r="B118" t="s">
        <v>26</v>
      </c>
      <c r="C118" t="s">
        <v>14</v>
      </c>
      <c r="D118" t="s">
        <v>66</v>
      </c>
      <c r="E118" t="s">
        <v>149</v>
      </c>
      <c r="F118" s="1">
        <v>175.96763192199933</v>
      </c>
      <c r="G118" s="1">
        <v>364.81888855585123</v>
      </c>
      <c r="H118" s="1">
        <f>Table1[[#This Row],[Sales]]-Table1[[#This Row],[ Cost Price]]</f>
        <v>188.8512566338519</v>
      </c>
    </row>
    <row r="119" spans="1:8" x14ac:dyDescent="0.25">
      <c r="A119" s="2">
        <v>44295</v>
      </c>
      <c r="B119" t="s">
        <v>26</v>
      </c>
      <c r="C119" t="s">
        <v>19</v>
      </c>
      <c r="D119" t="s">
        <v>68</v>
      </c>
      <c r="E119" t="s">
        <v>150</v>
      </c>
      <c r="F119" s="1">
        <v>1.961764294104672</v>
      </c>
      <c r="G119" s="1">
        <v>114.50651932003477</v>
      </c>
      <c r="H119" s="1">
        <f>Table1[[#This Row],[Sales]]-Table1[[#This Row],[ Cost Price]]</f>
        <v>112.5447550259301</v>
      </c>
    </row>
    <row r="120" spans="1:8" x14ac:dyDescent="0.25">
      <c r="A120" s="2">
        <v>44661</v>
      </c>
      <c r="B120" t="s">
        <v>30</v>
      </c>
      <c r="C120" t="s">
        <v>27</v>
      </c>
      <c r="D120" t="s">
        <v>24</v>
      </c>
      <c r="E120" t="s">
        <v>151</v>
      </c>
      <c r="F120" s="1">
        <v>498.66376963879787</v>
      </c>
      <c r="G120" s="1">
        <v>661.6640360006287</v>
      </c>
      <c r="H120" s="1">
        <f>Table1[[#This Row],[Sales]]-Table1[[#This Row],[ Cost Price]]</f>
        <v>163.00026636183082</v>
      </c>
    </row>
    <row r="121" spans="1:8" x14ac:dyDescent="0.25">
      <c r="A121" s="2">
        <v>44297</v>
      </c>
      <c r="B121" t="s">
        <v>9</v>
      </c>
      <c r="C121" t="s">
        <v>31</v>
      </c>
      <c r="D121" t="s">
        <v>92</v>
      </c>
      <c r="E121" t="s">
        <v>152</v>
      </c>
      <c r="F121" s="1">
        <v>451.23616577836611</v>
      </c>
      <c r="G121" s="1">
        <v>628.92340027734849</v>
      </c>
      <c r="H121" s="1">
        <f>Table1[[#This Row],[Sales]]-Table1[[#This Row],[ Cost Price]]</f>
        <v>177.68723449898238</v>
      </c>
    </row>
    <row r="122" spans="1:8" x14ac:dyDescent="0.25">
      <c r="A122" s="2">
        <v>44298</v>
      </c>
      <c r="B122" t="s">
        <v>13</v>
      </c>
      <c r="C122" t="s">
        <v>35</v>
      </c>
      <c r="D122" t="s">
        <v>96</v>
      </c>
      <c r="E122" t="s">
        <v>153</v>
      </c>
      <c r="F122" s="1">
        <v>171.75128381439484</v>
      </c>
      <c r="G122" s="1">
        <v>197.31531712338295</v>
      </c>
      <c r="H122" s="1">
        <f>Table1[[#This Row],[Sales]]-Table1[[#This Row],[ Cost Price]]</f>
        <v>25.564033308988115</v>
      </c>
    </row>
    <row r="123" spans="1:8" x14ac:dyDescent="0.25">
      <c r="A123" s="2">
        <v>44299</v>
      </c>
      <c r="B123" t="s">
        <v>18</v>
      </c>
      <c r="C123" t="s">
        <v>40</v>
      </c>
      <c r="D123" t="s">
        <v>98</v>
      </c>
      <c r="E123" t="s">
        <v>154</v>
      </c>
      <c r="F123" s="1">
        <v>307.83509298249288</v>
      </c>
      <c r="G123" s="1">
        <v>381.28210445757094</v>
      </c>
      <c r="H123" s="1">
        <f>Table1[[#This Row],[Sales]]-Table1[[#This Row],[ Cost Price]]</f>
        <v>73.447011475078057</v>
      </c>
    </row>
    <row r="124" spans="1:8" x14ac:dyDescent="0.25">
      <c r="A124" s="2">
        <v>44668</v>
      </c>
      <c r="B124" t="s">
        <v>9</v>
      </c>
      <c r="C124" t="s">
        <v>10</v>
      </c>
      <c r="D124" t="s">
        <v>15</v>
      </c>
      <c r="E124" t="s">
        <v>57</v>
      </c>
      <c r="F124" s="1">
        <v>223.64141585366002</v>
      </c>
      <c r="G124" s="1">
        <v>371.52389239019789</v>
      </c>
      <c r="H124" s="1">
        <f>Table1[[#This Row],[Sales]]-Table1[[#This Row],[ Cost Price]]</f>
        <v>147.88247653653787</v>
      </c>
    </row>
    <row r="125" spans="1:8" x14ac:dyDescent="0.25">
      <c r="A125" s="2">
        <v>44365</v>
      </c>
      <c r="B125" t="s">
        <v>13</v>
      </c>
      <c r="C125" t="s">
        <v>14</v>
      </c>
      <c r="D125" t="s">
        <v>20</v>
      </c>
      <c r="E125" t="s">
        <v>65</v>
      </c>
      <c r="F125" s="1">
        <v>103.42398466233685</v>
      </c>
      <c r="G125" s="1">
        <v>304.35911196936877</v>
      </c>
      <c r="H125" s="1">
        <f>Table1[[#This Row],[Sales]]-Table1[[#This Row],[ Cost Price]]</f>
        <v>200.93512730703191</v>
      </c>
    </row>
    <row r="126" spans="1:8" x14ac:dyDescent="0.25">
      <c r="A126" s="2">
        <v>44823</v>
      </c>
      <c r="B126" t="s">
        <v>18</v>
      </c>
      <c r="C126" t="s">
        <v>19</v>
      </c>
      <c r="D126" t="s">
        <v>45</v>
      </c>
      <c r="E126" t="s">
        <v>67</v>
      </c>
      <c r="F126" s="1">
        <v>1022.3706567278625</v>
      </c>
      <c r="G126" s="1">
        <v>1040.7937525309769</v>
      </c>
      <c r="H126" s="1">
        <f>Table1[[#This Row],[Sales]]-Table1[[#This Row],[ Cost Price]]</f>
        <v>18.423095803114393</v>
      </c>
    </row>
    <row r="127" spans="1:8" x14ac:dyDescent="0.25">
      <c r="A127" s="2">
        <v>44458</v>
      </c>
      <c r="B127" t="s">
        <v>26</v>
      </c>
      <c r="C127" t="s">
        <v>19</v>
      </c>
      <c r="D127" t="s">
        <v>36</v>
      </c>
      <c r="E127" t="s">
        <v>69</v>
      </c>
      <c r="F127" s="1">
        <v>860.12082496399432</v>
      </c>
      <c r="G127" s="1">
        <v>877.22207289822609</v>
      </c>
      <c r="H127" s="1">
        <f>Table1[[#This Row],[Sales]]-Table1[[#This Row],[ Cost Price]]</f>
        <v>17.101247934231765</v>
      </c>
    </row>
    <row r="128" spans="1:8" x14ac:dyDescent="0.25">
      <c r="A128" s="2">
        <v>44217</v>
      </c>
      <c r="B128" t="s">
        <v>18</v>
      </c>
      <c r="C128" t="s">
        <v>19</v>
      </c>
      <c r="D128" t="s">
        <v>41</v>
      </c>
      <c r="E128" t="s">
        <v>25</v>
      </c>
      <c r="F128" s="1">
        <v>586.52920516637005</v>
      </c>
      <c r="G128" s="1">
        <v>850.81424500923117</v>
      </c>
      <c r="H128" s="1">
        <f>Table1[[#This Row],[Sales]]-Table1[[#This Row],[ Cost Price]]</f>
        <v>264.28503984286112</v>
      </c>
    </row>
    <row r="129" spans="1:8" x14ac:dyDescent="0.25">
      <c r="A129" s="2">
        <v>44664</v>
      </c>
      <c r="B129" t="s">
        <v>18</v>
      </c>
      <c r="C129" t="s">
        <v>35</v>
      </c>
      <c r="D129" t="s">
        <v>15</v>
      </c>
      <c r="E129" t="s">
        <v>155</v>
      </c>
      <c r="F129" s="1">
        <v>457.47940930937159</v>
      </c>
      <c r="G129" s="1">
        <v>546.0739355119008</v>
      </c>
      <c r="H129" s="1">
        <f>Table1[[#This Row],[Sales]]-Table1[[#This Row],[ Cost Price]]</f>
        <v>88.59452620252921</v>
      </c>
    </row>
    <row r="130" spans="1:8" x14ac:dyDescent="0.25">
      <c r="A130" s="2">
        <v>44300</v>
      </c>
      <c r="B130" t="s">
        <v>26</v>
      </c>
      <c r="C130" t="s">
        <v>40</v>
      </c>
      <c r="D130" t="s">
        <v>45</v>
      </c>
      <c r="E130" t="s">
        <v>156</v>
      </c>
      <c r="F130" s="1">
        <v>749.52806375050284</v>
      </c>
      <c r="G130" s="1">
        <v>811.16468336996115</v>
      </c>
      <c r="H130" s="1">
        <f>Table1[[#This Row],[Sales]]-Table1[[#This Row],[ Cost Price]]</f>
        <v>61.636619619458315</v>
      </c>
    </row>
    <row r="131" spans="1:8" x14ac:dyDescent="0.25">
      <c r="A131" s="2">
        <v>44300</v>
      </c>
      <c r="B131" t="s">
        <v>30</v>
      </c>
      <c r="C131" t="s">
        <v>23</v>
      </c>
      <c r="D131" t="s">
        <v>56</v>
      </c>
      <c r="E131" t="s">
        <v>157</v>
      </c>
      <c r="F131" s="1">
        <v>150.52104977866509</v>
      </c>
      <c r="G131" s="1">
        <v>351.57887389881751</v>
      </c>
      <c r="H131" s="1">
        <f>Table1[[#This Row],[Sales]]-Table1[[#This Row],[ Cost Price]]</f>
        <v>201.05782412015242</v>
      </c>
    </row>
    <row r="132" spans="1:8" x14ac:dyDescent="0.25">
      <c r="A132" s="2">
        <v>44300</v>
      </c>
      <c r="B132" t="s">
        <v>26</v>
      </c>
      <c r="C132" t="s">
        <v>23</v>
      </c>
      <c r="D132" t="s">
        <v>100</v>
      </c>
      <c r="E132" t="s">
        <v>158</v>
      </c>
      <c r="F132" s="1">
        <v>285.17213157416739</v>
      </c>
      <c r="G132" s="1">
        <v>313.98150486010798</v>
      </c>
      <c r="H132" s="1">
        <f>Table1[[#This Row],[Sales]]-Table1[[#This Row],[ Cost Price]]</f>
        <v>28.80937328594058</v>
      </c>
    </row>
    <row r="133" spans="1:8" x14ac:dyDescent="0.25">
      <c r="A133" s="2">
        <v>44666</v>
      </c>
      <c r="B133" t="s">
        <v>30</v>
      </c>
      <c r="C133" t="s">
        <v>27</v>
      </c>
      <c r="D133" t="s">
        <v>102</v>
      </c>
      <c r="E133" t="s">
        <v>159</v>
      </c>
      <c r="F133" s="1">
        <v>175.52645909978844</v>
      </c>
      <c r="G133" s="1">
        <v>244.58387189142127</v>
      </c>
      <c r="H133" s="1">
        <f>Table1[[#This Row],[Sales]]-Table1[[#This Row],[ Cost Price]]</f>
        <v>69.057412791632828</v>
      </c>
    </row>
    <row r="134" spans="1:8" x14ac:dyDescent="0.25">
      <c r="A134" s="2">
        <v>44302</v>
      </c>
      <c r="B134" t="s">
        <v>9</v>
      </c>
      <c r="C134" t="s">
        <v>27</v>
      </c>
      <c r="D134" t="s">
        <v>53</v>
      </c>
      <c r="E134" t="s">
        <v>160</v>
      </c>
      <c r="F134" s="1">
        <v>629.42653673950224</v>
      </c>
      <c r="G134" s="1">
        <v>656.33699109308498</v>
      </c>
      <c r="H134" s="1">
        <f>Table1[[#This Row],[Sales]]-Table1[[#This Row],[ Cost Price]]</f>
        <v>26.910454353582736</v>
      </c>
    </row>
    <row r="135" spans="1:8" x14ac:dyDescent="0.25">
      <c r="A135" s="2">
        <v>44303</v>
      </c>
      <c r="B135" t="s">
        <v>13</v>
      </c>
      <c r="C135" t="s">
        <v>27</v>
      </c>
      <c r="D135" t="s">
        <v>45</v>
      </c>
      <c r="E135" t="s">
        <v>161</v>
      </c>
      <c r="F135" s="1">
        <v>505.42952099995921</v>
      </c>
      <c r="G135" s="1">
        <v>535.02943756876664</v>
      </c>
      <c r="H135" s="1">
        <f>Table1[[#This Row],[Sales]]-Table1[[#This Row],[ Cost Price]]</f>
        <v>29.59991656880743</v>
      </c>
    </row>
    <row r="136" spans="1:8" x14ac:dyDescent="0.25">
      <c r="A136" s="2">
        <v>44669</v>
      </c>
      <c r="B136" t="s">
        <v>18</v>
      </c>
      <c r="C136" t="s">
        <v>27</v>
      </c>
      <c r="D136" t="s">
        <v>56</v>
      </c>
      <c r="E136" t="s">
        <v>162</v>
      </c>
      <c r="F136" s="1">
        <v>245.60970244965046</v>
      </c>
      <c r="G136" s="1">
        <v>369.1223559003073</v>
      </c>
      <c r="H136" s="1">
        <f>Table1[[#This Row],[Sales]]-Table1[[#This Row],[ Cost Price]]</f>
        <v>123.51265345065684</v>
      </c>
    </row>
    <row r="137" spans="1:8" x14ac:dyDescent="0.25">
      <c r="A137" s="2">
        <v>44305</v>
      </c>
      <c r="B137" t="s">
        <v>26</v>
      </c>
      <c r="C137" t="s">
        <v>31</v>
      </c>
      <c r="D137" t="s">
        <v>11</v>
      </c>
      <c r="E137" t="s">
        <v>163</v>
      </c>
      <c r="F137" s="1">
        <v>1284.492861699006</v>
      </c>
      <c r="G137" s="1">
        <v>1317.2529913929877</v>
      </c>
      <c r="H137" s="1">
        <f>Table1[[#This Row],[Sales]]-Table1[[#This Row],[ Cost Price]]</f>
        <v>32.760129693981753</v>
      </c>
    </row>
    <row r="138" spans="1:8" x14ac:dyDescent="0.25">
      <c r="A138" s="2">
        <v>44306</v>
      </c>
      <c r="B138" t="s">
        <v>13</v>
      </c>
      <c r="C138" t="s">
        <v>35</v>
      </c>
      <c r="D138" t="s">
        <v>15</v>
      </c>
      <c r="E138" t="s">
        <v>164</v>
      </c>
      <c r="F138" s="1">
        <v>167.72527818804801</v>
      </c>
      <c r="G138" s="1">
        <v>342.37945520584344</v>
      </c>
      <c r="H138" s="1">
        <f>Table1[[#This Row],[Sales]]-Table1[[#This Row],[ Cost Price]]</f>
        <v>174.65417701779543</v>
      </c>
    </row>
    <row r="139" spans="1:8" x14ac:dyDescent="0.25">
      <c r="A139" s="2">
        <v>44672</v>
      </c>
      <c r="B139" t="s">
        <v>13</v>
      </c>
      <c r="C139" t="s">
        <v>40</v>
      </c>
      <c r="D139" t="s">
        <v>45</v>
      </c>
      <c r="E139" t="s">
        <v>165</v>
      </c>
      <c r="F139" s="1">
        <v>333.88084807101495</v>
      </c>
      <c r="G139" s="1">
        <v>512.94036559613949</v>
      </c>
      <c r="H139" s="1">
        <f>Table1[[#This Row],[Sales]]-Table1[[#This Row],[ Cost Price]]</f>
        <v>179.05951752512453</v>
      </c>
    </row>
    <row r="140" spans="1:8" x14ac:dyDescent="0.25">
      <c r="A140" s="2">
        <v>44673</v>
      </c>
      <c r="B140" t="s">
        <v>13</v>
      </c>
      <c r="C140" t="s">
        <v>23</v>
      </c>
      <c r="D140" t="s">
        <v>56</v>
      </c>
      <c r="E140" t="s">
        <v>166</v>
      </c>
      <c r="F140" s="1">
        <v>13.34883811381893</v>
      </c>
      <c r="G140" s="1">
        <v>190.05185093799903</v>
      </c>
      <c r="H140" s="1">
        <f>Table1[[#This Row],[Sales]]-Table1[[#This Row],[ Cost Price]]</f>
        <v>176.70301282418009</v>
      </c>
    </row>
    <row r="141" spans="1:8" x14ac:dyDescent="0.25">
      <c r="A141" s="2">
        <v>44309</v>
      </c>
      <c r="B141" t="s">
        <v>13</v>
      </c>
      <c r="C141" t="s">
        <v>10</v>
      </c>
      <c r="D141" t="s">
        <v>11</v>
      </c>
      <c r="E141" t="s">
        <v>94</v>
      </c>
      <c r="F141" s="1">
        <v>134.94925930175469</v>
      </c>
      <c r="G141" s="1">
        <v>251.82501063464787</v>
      </c>
      <c r="H141" s="1">
        <f>Table1[[#This Row],[Sales]]-Table1[[#This Row],[ Cost Price]]</f>
        <v>116.87575133289317</v>
      </c>
    </row>
    <row r="142" spans="1:8" x14ac:dyDescent="0.25">
      <c r="A142" s="2">
        <v>44310</v>
      </c>
      <c r="B142" t="s">
        <v>13</v>
      </c>
      <c r="C142" t="s">
        <v>14</v>
      </c>
      <c r="D142" t="s">
        <v>15</v>
      </c>
      <c r="E142" t="s">
        <v>95</v>
      </c>
      <c r="F142" s="1">
        <v>253.11548109431001</v>
      </c>
      <c r="G142" s="1">
        <v>274.38192219727313</v>
      </c>
      <c r="H142" s="1">
        <f>Table1[[#This Row],[Sales]]-Table1[[#This Row],[ Cost Price]]</f>
        <v>21.266441102963114</v>
      </c>
    </row>
    <row r="143" spans="1:8" x14ac:dyDescent="0.25">
      <c r="A143" s="2">
        <v>44676</v>
      </c>
      <c r="B143" t="s">
        <v>13</v>
      </c>
      <c r="C143" t="s">
        <v>19</v>
      </c>
      <c r="D143" t="s">
        <v>45</v>
      </c>
      <c r="E143" t="s">
        <v>167</v>
      </c>
      <c r="F143" s="1">
        <v>261.35484020745798</v>
      </c>
      <c r="G143" s="1">
        <v>341.15462505153823</v>
      </c>
      <c r="H143" s="1">
        <f>Table1[[#This Row],[Sales]]-Table1[[#This Row],[ Cost Price]]</f>
        <v>79.79978484408025</v>
      </c>
    </row>
    <row r="144" spans="1:8" x14ac:dyDescent="0.25">
      <c r="A144" s="2">
        <v>44312</v>
      </c>
      <c r="B144" t="s">
        <v>13</v>
      </c>
      <c r="C144" t="s">
        <v>27</v>
      </c>
      <c r="D144" t="s">
        <v>56</v>
      </c>
      <c r="E144" t="s">
        <v>168</v>
      </c>
      <c r="F144" s="1">
        <v>220.36464028417669</v>
      </c>
      <c r="G144" s="1">
        <v>514.19937465382259</v>
      </c>
      <c r="H144" s="1">
        <f>Table1[[#This Row],[Sales]]-Table1[[#This Row],[ Cost Price]]</f>
        <v>293.8347343696459</v>
      </c>
    </row>
    <row r="145" spans="1:8" x14ac:dyDescent="0.25">
      <c r="A145" s="2">
        <v>44678</v>
      </c>
      <c r="B145" t="s">
        <v>13</v>
      </c>
      <c r="C145" t="s">
        <v>31</v>
      </c>
      <c r="D145" t="s">
        <v>11</v>
      </c>
      <c r="E145" t="s">
        <v>169</v>
      </c>
      <c r="F145" s="1">
        <v>252.26422709982523</v>
      </c>
      <c r="G145" s="1">
        <v>281.98802223883615</v>
      </c>
      <c r="H145" s="1">
        <f>Table1[[#This Row],[Sales]]-Table1[[#This Row],[ Cost Price]]</f>
        <v>29.723795139010917</v>
      </c>
    </row>
    <row r="146" spans="1:8" x14ac:dyDescent="0.25">
      <c r="A146" s="2">
        <v>44314</v>
      </c>
      <c r="B146" t="s">
        <v>18</v>
      </c>
      <c r="C146" t="s">
        <v>35</v>
      </c>
      <c r="D146" t="s">
        <v>15</v>
      </c>
      <c r="E146" t="s">
        <v>155</v>
      </c>
      <c r="F146" s="1">
        <v>457.47940930937159</v>
      </c>
      <c r="G146" s="1">
        <v>546.0739355119008</v>
      </c>
      <c r="H146" s="1">
        <f>Table1[[#This Row],[Sales]]-Table1[[#This Row],[ Cost Price]]</f>
        <v>88.59452620252921</v>
      </c>
    </row>
    <row r="147" spans="1:8" x14ac:dyDescent="0.25">
      <c r="A147" s="2">
        <v>44680</v>
      </c>
      <c r="B147" t="s">
        <v>26</v>
      </c>
      <c r="C147" t="s">
        <v>40</v>
      </c>
      <c r="D147" t="s">
        <v>45</v>
      </c>
      <c r="E147" t="s">
        <v>156</v>
      </c>
      <c r="F147" s="1">
        <v>749.52806375050284</v>
      </c>
      <c r="G147" s="1">
        <v>811.16468336996115</v>
      </c>
      <c r="H147" s="1">
        <f>Table1[[#This Row],[Sales]]-Table1[[#This Row],[ Cost Price]]</f>
        <v>61.636619619458315</v>
      </c>
    </row>
    <row r="148" spans="1:8" x14ac:dyDescent="0.25">
      <c r="A148" s="2">
        <v>44316</v>
      </c>
      <c r="B148" t="s">
        <v>30</v>
      </c>
      <c r="C148" t="s">
        <v>23</v>
      </c>
      <c r="D148" t="s">
        <v>56</v>
      </c>
      <c r="E148" t="s">
        <v>157</v>
      </c>
      <c r="F148" s="1">
        <v>150.52104977866509</v>
      </c>
      <c r="G148" s="1">
        <v>351.57887389881751</v>
      </c>
      <c r="H148" s="1">
        <f>Table1[[#This Row],[Sales]]-Table1[[#This Row],[ Cost Price]]</f>
        <v>201.05782412015242</v>
      </c>
    </row>
    <row r="149" spans="1:8" x14ac:dyDescent="0.25">
      <c r="A149" s="2">
        <v>44682</v>
      </c>
      <c r="B149" t="s">
        <v>9</v>
      </c>
      <c r="C149" t="s">
        <v>10</v>
      </c>
      <c r="D149" t="s">
        <v>11</v>
      </c>
      <c r="E149" t="s">
        <v>170</v>
      </c>
      <c r="F149" s="1">
        <v>771.50124244167773</v>
      </c>
      <c r="G149" s="1">
        <v>922.53859775748708</v>
      </c>
      <c r="H149" s="1">
        <f>Table1[[#This Row],[Sales]]-Table1[[#This Row],[ Cost Price]]</f>
        <v>151.03735531580935</v>
      </c>
    </row>
    <row r="150" spans="1:8" x14ac:dyDescent="0.25">
      <c r="A150" s="2">
        <v>44683</v>
      </c>
      <c r="B150" t="s">
        <v>13</v>
      </c>
      <c r="C150" t="s">
        <v>14</v>
      </c>
      <c r="D150" t="s">
        <v>15</v>
      </c>
      <c r="E150" t="s">
        <v>171</v>
      </c>
      <c r="F150" s="1">
        <v>727.74293444418458</v>
      </c>
      <c r="G150" s="1">
        <v>749.45424931236028</v>
      </c>
      <c r="H150" s="1">
        <f>Table1[[#This Row],[Sales]]-Table1[[#This Row],[ Cost Price]]</f>
        <v>21.711314868175691</v>
      </c>
    </row>
    <row r="151" spans="1:8" x14ac:dyDescent="0.25">
      <c r="A151" s="2">
        <v>44319</v>
      </c>
      <c r="B151" t="s">
        <v>13</v>
      </c>
      <c r="C151" t="s">
        <v>14</v>
      </c>
      <c r="D151" t="s">
        <v>20</v>
      </c>
      <c r="E151" t="s">
        <v>172</v>
      </c>
      <c r="F151" s="1">
        <v>374.74900655368964</v>
      </c>
      <c r="G151" s="1">
        <v>418.49086517266062</v>
      </c>
      <c r="H151" s="1">
        <f>Table1[[#This Row],[Sales]]-Table1[[#This Row],[ Cost Price]]</f>
        <v>43.74185861897098</v>
      </c>
    </row>
    <row r="152" spans="1:8" x14ac:dyDescent="0.25">
      <c r="A152" s="2">
        <v>44320</v>
      </c>
      <c r="B152" t="s">
        <v>13</v>
      </c>
      <c r="C152" t="s">
        <v>14</v>
      </c>
      <c r="D152" t="s">
        <v>28</v>
      </c>
      <c r="E152" t="s">
        <v>173</v>
      </c>
      <c r="F152" s="1">
        <v>284.7887430977359</v>
      </c>
      <c r="G152" s="1">
        <v>424.15068055882966</v>
      </c>
      <c r="H152" s="1">
        <f>Table1[[#This Row],[Sales]]-Table1[[#This Row],[ Cost Price]]</f>
        <v>139.36193746109376</v>
      </c>
    </row>
    <row r="153" spans="1:8" x14ac:dyDescent="0.25">
      <c r="A153" s="2">
        <v>44686</v>
      </c>
      <c r="B153" t="s">
        <v>13</v>
      </c>
      <c r="C153" t="s">
        <v>14</v>
      </c>
      <c r="D153" t="s">
        <v>32</v>
      </c>
      <c r="E153" t="s">
        <v>174</v>
      </c>
      <c r="F153" s="1">
        <v>163.45761869702895</v>
      </c>
      <c r="G153" s="1">
        <v>343.32379641711145</v>
      </c>
      <c r="H153" s="1">
        <f>Table1[[#This Row],[Sales]]-Table1[[#This Row],[ Cost Price]]</f>
        <v>179.8661777200825</v>
      </c>
    </row>
    <row r="154" spans="1:8" x14ac:dyDescent="0.25">
      <c r="A154" s="2">
        <v>44322</v>
      </c>
      <c r="B154" t="s">
        <v>13</v>
      </c>
      <c r="C154" t="s">
        <v>14</v>
      </c>
      <c r="D154" t="s">
        <v>36</v>
      </c>
      <c r="E154" t="s">
        <v>175</v>
      </c>
      <c r="F154" s="1">
        <v>566.42841690934733</v>
      </c>
      <c r="G154" s="1">
        <v>628.11278807356655</v>
      </c>
      <c r="H154" s="1">
        <f>Table1[[#This Row],[Sales]]-Table1[[#This Row],[ Cost Price]]</f>
        <v>61.684371164219215</v>
      </c>
    </row>
    <row r="155" spans="1:8" x14ac:dyDescent="0.25">
      <c r="A155" s="2">
        <v>44323</v>
      </c>
      <c r="B155" t="s">
        <v>13</v>
      </c>
      <c r="C155" t="s">
        <v>14</v>
      </c>
      <c r="D155" t="s">
        <v>41</v>
      </c>
      <c r="E155" t="s">
        <v>176</v>
      </c>
      <c r="F155" s="1">
        <v>167.11370790552942</v>
      </c>
      <c r="G155" s="1">
        <v>360.89751090033036</v>
      </c>
      <c r="H155" s="1">
        <f>Table1[[#This Row],[Sales]]-Table1[[#This Row],[ Cost Price]]</f>
        <v>193.78380299480094</v>
      </c>
    </row>
    <row r="156" spans="1:8" x14ac:dyDescent="0.25">
      <c r="A156" s="2">
        <v>44689</v>
      </c>
      <c r="B156" t="s">
        <v>13</v>
      </c>
      <c r="C156" t="s">
        <v>14</v>
      </c>
      <c r="D156" t="s">
        <v>43</v>
      </c>
      <c r="E156" t="s">
        <v>177</v>
      </c>
      <c r="F156" s="1">
        <v>1070.5993010005659</v>
      </c>
      <c r="G156" s="1">
        <v>1236.5124380143948</v>
      </c>
      <c r="H156" s="1">
        <f>Table1[[#This Row],[Sales]]-Table1[[#This Row],[ Cost Price]]</f>
        <v>165.91313701382887</v>
      </c>
    </row>
    <row r="157" spans="1:8" x14ac:dyDescent="0.25">
      <c r="A157" s="2">
        <v>44325</v>
      </c>
      <c r="B157" t="s">
        <v>13</v>
      </c>
      <c r="C157" t="s">
        <v>14</v>
      </c>
      <c r="D157" t="s">
        <v>51</v>
      </c>
      <c r="E157" t="s">
        <v>178</v>
      </c>
      <c r="F157" s="1">
        <v>369.70888301563224</v>
      </c>
      <c r="G157" s="1">
        <v>444.48153522830972</v>
      </c>
      <c r="H157" s="1">
        <f>Table1[[#This Row],[Sales]]-Table1[[#This Row],[ Cost Price]]</f>
        <v>74.772652212677485</v>
      </c>
    </row>
    <row r="158" spans="1:8" x14ac:dyDescent="0.25">
      <c r="A158" s="2">
        <v>44691</v>
      </c>
      <c r="B158" t="s">
        <v>13</v>
      </c>
      <c r="C158" t="s">
        <v>14</v>
      </c>
      <c r="D158" t="s">
        <v>53</v>
      </c>
      <c r="E158" t="s">
        <v>179</v>
      </c>
      <c r="F158" s="1">
        <v>686.77192228839021</v>
      </c>
      <c r="G158" s="1">
        <v>811.31427352480182</v>
      </c>
      <c r="H158" s="1">
        <f>Table1[[#This Row],[Sales]]-Table1[[#This Row],[ Cost Price]]</f>
        <v>124.5423512364116</v>
      </c>
    </row>
    <row r="159" spans="1:8" x14ac:dyDescent="0.25">
      <c r="A159" s="2">
        <v>44327</v>
      </c>
      <c r="B159" t="s">
        <v>13</v>
      </c>
      <c r="C159" t="s">
        <v>19</v>
      </c>
      <c r="D159" t="s">
        <v>45</v>
      </c>
      <c r="E159" t="s">
        <v>180</v>
      </c>
      <c r="F159" s="1">
        <v>19.11923518531421</v>
      </c>
      <c r="G159" s="1">
        <v>183.7744549563123</v>
      </c>
      <c r="H159" s="1">
        <f>Table1[[#This Row],[Sales]]-Table1[[#This Row],[ Cost Price]]</f>
        <v>164.65521977099809</v>
      </c>
    </row>
    <row r="160" spans="1:8" x14ac:dyDescent="0.25">
      <c r="A160" s="2">
        <v>44328</v>
      </c>
      <c r="B160" t="s">
        <v>13</v>
      </c>
      <c r="C160" t="s">
        <v>27</v>
      </c>
      <c r="D160" t="s">
        <v>56</v>
      </c>
      <c r="E160" t="s">
        <v>181</v>
      </c>
      <c r="F160" s="1">
        <v>443.12860421421129</v>
      </c>
      <c r="G160" s="1">
        <v>547.0382351571584</v>
      </c>
      <c r="H160" s="1">
        <f>Table1[[#This Row],[Sales]]-Table1[[#This Row],[ Cost Price]]</f>
        <v>103.9096309429471</v>
      </c>
    </row>
    <row r="161" spans="1:8" x14ac:dyDescent="0.25">
      <c r="A161" s="2">
        <v>44694</v>
      </c>
      <c r="B161" t="s">
        <v>18</v>
      </c>
      <c r="C161" t="s">
        <v>31</v>
      </c>
      <c r="D161" t="s">
        <v>38</v>
      </c>
      <c r="E161" t="s">
        <v>182</v>
      </c>
      <c r="F161" s="1">
        <v>855.06113274285656</v>
      </c>
      <c r="G161" s="1">
        <v>989.99796931303263</v>
      </c>
      <c r="H161" s="1">
        <f>Table1[[#This Row],[Sales]]-Table1[[#This Row],[ Cost Price]]</f>
        <v>134.93683657017607</v>
      </c>
    </row>
    <row r="162" spans="1:8" x14ac:dyDescent="0.25">
      <c r="A162" s="2">
        <v>44330</v>
      </c>
      <c r="B162" t="s">
        <v>26</v>
      </c>
      <c r="C162" t="s">
        <v>35</v>
      </c>
      <c r="D162" t="s">
        <v>66</v>
      </c>
      <c r="E162" t="s">
        <v>183</v>
      </c>
      <c r="F162" s="1">
        <v>262.15715067945638</v>
      </c>
      <c r="G162" s="1">
        <v>301.43706824171772</v>
      </c>
      <c r="H162" s="1">
        <f>Table1[[#This Row],[Sales]]-Table1[[#This Row],[ Cost Price]]</f>
        <v>39.279917562261346</v>
      </c>
    </row>
    <row r="163" spans="1:8" x14ac:dyDescent="0.25">
      <c r="A163" s="2">
        <v>44331</v>
      </c>
      <c r="B163" t="s">
        <v>30</v>
      </c>
      <c r="C163" t="s">
        <v>40</v>
      </c>
      <c r="D163" t="s">
        <v>68</v>
      </c>
      <c r="E163" t="s">
        <v>184</v>
      </c>
      <c r="F163" s="1">
        <v>767.25551752289641</v>
      </c>
      <c r="G163" s="1">
        <v>836.58310747175062</v>
      </c>
      <c r="H163" s="1">
        <f>Table1[[#This Row],[Sales]]-Table1[[#This Row],[ Cost Price]]</f>
        <v>69.327589948854211</v>
      </c>
    </row>
    <row r="164" spans="1:8" x14ac:dyDescent="0.25">
      <c r="A164" s="2">
        <v>44697</v>
      </c>
      <c r="B164" t="s">
        <v>9</v>
      </c>
      <c r="C164" t="s">
        <v>40</v>
      </c>
      <c r="D164" t="s">
        <v>24</v>
      </c>
      <c r="E164" t="s">
        <v>185</v>
      </c>
      <c r="F164" s="1">
        <v>450.60419462081688</v>
      </c>
      <c r="G164" s="1">
        <v>483.40362660065063</v>
      </c>
      <c r="H164" s="1">
        <f>Table1[[#This Row],[Sales]]-Table1[[#This Row],[ Cost Price]]</f>
        <v>32.799431979833741</v>
      </c>
    </row>
    <row r="165" spans="1:8" x14ac:dyDescent="0.25">
      <c r="A165" s="2">
        <v>44698</v>
      </c>
      <c r="B165" t="s">
        <v>13</v>
      </c>
      <c r="C165" t="s">
        <v>40</v>
      </c>
      <c r="D165" t="s">
        <v>92</v>
      </c>
      <c r="E165" t="s">
        <v>186</v>
      </c>
      <c r="F165" s="1">
        <v>1287.7040464049703</v>
      </c>
      <c r="G165" s="1">
        <v>1347.9665571061437</v>
      </c>
      <c r="H165" s="1">
        <f>Table1[[#This Row],[Sales]]-Table1[[#This Row],[ Cost Price]]</f>
        <v>60.262510701173369</v>
      </c>
    </row>
    <row r="166" spans="1:8" x14ac:dyDescent="0.25">
      <c r="A166" s="2">
        <v>44699</v>
      </c>
      <c r="B166" t="s">
        <v>18</v>
      </c>
      <c r="C166" t="s">
        <v>14</v>
      </c>
      <c r="D166" t="s">
        <v>96</v>
      </c>
      <c r="E166" t="s">
        <v>187</v>
      </c>
      <c r="F166" s="1">
        <v>324.08204369572496</v>
      </c>
      <c r="G166" s="1">
        <v>448.04410624214466</v>
      </c>
      <c r="H166" s="1">
        <f>Table1[[#This Row],[Sales]]-Table1[[#This Row],[ Cost Price]]</f>
        <v>123.9620625464197</v>
      </c>
    </row>
    <row r="167" spans="1:8" x14ac:dyDescent="0.25">
      <c r="A167" s="2">
        <v>44700</v>
      </c>
      <c r="B167" t="s">
        <v>26</v>
      </c>
      <c r="C167" t="s">
        <v>19</v>
      </c>
      <c r="D167" t="s">
        <v>98</v>
      </c>
      <c r="E167" t="s">
        <v>188</v>
      </c>
      <c r="F167" s="1">
        <v>297.68302000192017</v>
      </c>
      <c r="G167" s="1">
        <v>417.67385164984358</v>
      </c>
      <c r="H167" s="1">
        <f>Table1[[#This Row],[Sales]]-Table1[[#This Row],[ Cost Price]]</f>
        <v>119.99083164792341</v>
      </c>
    </row>
    <row r="168" spans="1:8" x14ac:dyDescent="0.25">
      <c r="A168" s="2">
        <v>44336</v>
      </c>
      <c r="B168" t="s">
        <v>30</v>
      </c>
      <c r="C168" t="s">
        <v>27</v>
      </c>
      <c r="D168" t="s">
        <v>100</v>
      </c>
      <c r="E168" t="s">
        <v>189</v>
      </c>
      <c r="F168" s="1">
        <v>523.19982844579204</v>
      </c>
      <c r="G168" s="1">
        <v>659.08454261720567</v>
      </c>
      <c r="H168" s="1">
        <f>Table1[[#This Row],[Sales]]-Table1[[#This Row],[ Cost Price]]</f>
        <v>135.88471417141363</v>
      </c>
    </row>
    <row r="169" spans="1:8" x14ac:dyDescent="0.25">
      <c r="A169" s="2">
        <v>44337</v>
      </c>
      <c r="B169" t="s">
        <v>18</v>
      </c>
      <c r="C169" t="s">
        <v>31</v>
      </c>
      <c r="D169" t="s">
        <v>102</v>
      </c>
      <c r="E169" t="s">
        <v>190</v>
      </c>
      <c r="F169" s="1">
        <v>44.942521451292272</v>
      </c>
      <c r="G169" s="1">
        <v>51.266290126609199</v>
      </c>
      <c r="H169" s="1">
        <f>Table1[[#This Row],[Sales]]-Table1[[#This Row],[ Cost Price]]</f>
        <v>6.3237686753169271</v>
      </c>
    </row>
    <row r="170" spans="1:8" x14ac:dyDescent="0.25">
      <c r="A170" s="2">
        <v>44338</v>
      </c>
      <c r="B170" t="s">
        <v>18</v>
      </c>
      <c r="C170" t="s">
        <v>35</v>
      </c>
      <c r="D170" t="s">
        <v>53</v>
      </c>
      <c r="E170" t="s">
        <v>191</v>
      </c>
      <c r="F170" s="1">
        <v>433.02089701230443</v>
      </c>
      <c r="G170" s="1">
        <v>544.66079936658275</v>
      </c>
      <c r="H170" s="1">
        <f>Table1[[#This Row],[Sales]]-Table1[[#This Row],[ Cost Price]]</f>
        <v>111.63990235427832</v>
      </c>
    </row>
    <row r="171" spans="1:8" x14ac:dyDescent="0.25">
      <c r="A171" s="2">
        <v>44704</v>
      </c>
      <c r="B171" t="s">
        <v>18</v>
      </c>
      <c r="C171" t="s">
        <v>40</v>
      </c>
      <c r="D171" t="s">
        <v>45</v>
      </c>
      <c r="E171" t="s">
        <v>192</v>
      </c>
      <c r="F171" s="1">
        <v>58.957729540517832</v>
      </c>
      <c r="G171" s="1">
        <v>201.6975978393902</v>
      </c>
      <c r="H171" s="1">
        <f>Table1[[#This Row],[Sales]]-Table1[[#This Row],[ Cost Price]]</f>
        <v>142.73986829887235</v>
      </c>
    </row>
    <row r="172" spans="1:8" x14ac:dyDescent="0.25">
      <c r="A172" s="2">
        <v>44705</v>
      </c>
      <c r="B172" t="s">
        <v>18</v>
      </c>
      <c r="C172" t="s">
        <v>23</v>
      </c>
      <c r="D172" t="s">
        <v>56</v>
      </c>
      <c r="E172" t="s">
        <v>193</v>
      </c>
      <c r="F172" s="1">
        <v>948.37509013688191</v>
      </c>
      <c r="G172" s="1">
        <v>1164.9796956184084</v>
      </c>
      <c r="H172" s="1">
        <f>Table1[[#This Row],[Sales]]-Table1[[#This Row],[ Cost Price]]</f>
        <v>216.60460548152651</v>
      </c>
    </row>
    <row r="173" spans="1:8" x14ac:dyDescent="0.25">
      <c r="A173" s="2">
        <v>44341</v>
      </c>
      <c r="B173" t="s">
        <v>18</v>
      </c>
      <c r="C173" t="s">
        <v>10</v>
      </c>
      <c r="D173" t="s">
        <v>11</v>
      </c>
      <c r="E173" t="s">
        <v>194</v>
      </c>
      <c r="F173" s="1">
        <v>182.15701017694408</v>
      </c>
      <c r="G173" s="1">
        <v>205.57137193670602</v>
      </c>
      <c r="H173" s="1">
        <f>Table1[[#This Row],[Sales]]-Table1[[#This Row],[ Cost Price]]</f>
        <v>23.414361759761931</v>
      </c>
    </row>
    <row r="174" spans="1:8" x14ac:dyDescent="0.25">
      <c r="A174" s="2">
        <v>44342</v>
      </c>
      <c r="B174" t="s">
        <v>18</v>
      </c>
      <c r="C174" t="s">
        <v>14</v>
      </c>
      <c r="D174" t="s">
        <v>15</v>
      </c>
      <c r="E174" t="s">
        <v>195</v>
      </c>
      <c r="F174" s="1">
        <v>378.02923677764909</v>
      </c>
      <c r="G174" s="1">
        <v>627.80308765590246</v>
      </c>
      <c r="H174" s="1">
        <f>Table1[[#This Row],[Sales]]-Table1[[#This Row],[ Cost Price]]</f>
        <v>249.77385087825337</v>
      </c>
    </row>
    <row r="175" spans="1:8" x14ac:dyDescent="0.25">
      <c r="A175" s="2">
        <v>44343</v>
      </c>
      <c r="B175" t="s">
        <v>18</v>
      </c>
      <c r="C175" t="s">
        <v>19</v>
      </c>
      <c r="D175" t="s">
        <v>20</v>
      </c>
      <c r="E175" t="s">
        <v>196</v>
      </c>
      <c r="F175" s="1">
        <v>374.28080510466538</v>
      </c>
      <c r="G175" s="1">
        <v>539.1751740808196</v>
      </c>
      <c r="H175" s="1">
        <f>Table1[[#This Row],[Sales]]-Table1[[#This Row],[ Cost Price]]</f>
        <v>164.89436897615423</v>
      </c>
    </row>
    <row r="176" spans="1:8" x14ac:dyDescent="0.25">
      <c r="A176" s="2">
        <v>44709</v>
      </c>
      <c r="B176" t="s">
        <v>18</v>
      </c>
      <c r="C176" t="s">
        <v>19</v>
      </c>
      <c r="D176" t="s">
        <v>96</v>
      </c>
      <c r="E176" t="s">
        <v>197</v>
      </c>
      <c r="F176" s="1">
        <v>721.6656364956807</v>
      </c>
      <c r="G176" s="1">
        <v>996.18478482841783</v>
      </c>
      <c r="H176" s="1">
        <f>Table1[[#This Row],[Sales]]-Table1[[#This Row],[ Cost Price]]</f>
        <v>274.51914833273713</v>
      </c>
    </row>
    <row r="177" spans="1:8" x14ac:dyDescent="0.25">
      <c r="A177" s="2">
        <v>44345</v>
      </c>
      <c r="B177" t="s">
        <v>26</v>
      </c>
      <c r="C177" t="s">
        <v>19</v>
      </c>
      <c r="D177" t="s">
        <v>98</v>
      </c>
      <c r="E177" t="s">
        <v>198</v>
      </c>
      <c r="F177" s="1">
        <v>627.31546761830907</v>
      </c>
      <c r="G177" s="1">
        <v>778.50068088947285</v>
      </c>
      <c r="H177" s="1">
        <f>Table1[[#This Row],[Sales]]-Table1[[#This Row],[ Cost Price]]</f>
        <v>151.18521327116378</v>
      </c>
    </row>
    <row r="178" spans="1:8" x14ac:dyDescent="0.25">
      <c r="A178" s="2">
        <v>44346</v>
      </c>
      <c r="B178" t="s">
        <v>30</v>
      </c>
      <c r="C178" t="s">
        <v>19</v>
      </c>
      <c r="D178" t="s">
        <v>100</v>
      </c>
      <c r="E178" t="s">
        <v>199</v>
      </c>
      <c r="F178" s="1">
        <v>28.531153616804669</v>
      </c>
      <c r="G178" s="1">
        <v>150.95294291880492</v>
      </c>
      <c r="H178" s="1">
        <f>Table1[[#This Row],[Sales]]-Table1[[#This Row],[ Cost Price]]</f>
        <v>122.42178930200025</v>
      </c>
    </row>
    <row r="179" spans="1:8" x14ac:dyDescent="0.25">
      <c r="A179" s="2">
        <v>44712</v>
      </c>
      <c r="B179" t="s">
        <v>9</v>
      </c>
      <c r="C179" t="s">
        <v>19</v>
      </c>
      <c r="D179" t="s">
        <v>102</v>
      </c>
      <c r="E179" t="s">
        <v>200</v>
      </c>
      <c r="F179" s="1">
        <v>563.80598863205455</v>
      </c>
      <c r="G179" s="1">
        <v>628.40791081088366</v>
      </c>
      <c r="H179" s="1">
        <f>Table1[[#This Row],[Sales]]-Table1[[#This Row],[ Cost Price]]</f>
        <v>64.601922178829113</v>
      </c>
    </row>
    <row r="180" spans="1:8" x14ac:dyDescent="0.25">
      <c r="A180" s="2">
        <v>44348</v>
      </c>
      <c r="B180" t="s">
        <v>13</v>
      </c>
      <c r="C180" t="s">
        <v>23</v>
      </c>
      <c r="D180" t="s">
        <v>53</v>
      </c>
      <c r="E180" t="s">
        <v>201</v>
      </c>
      <c r="F180" s="1">
        <v>782.0281906233929</v>
      </c>
      <c r="G180" s="1">
        <v>925.74470981730769</v>
      </c>
      <c r="H180" s="1">
        <f>Table1[[#This Row],[Sales]]-Table1[[#This Row],[ Cost Price]]</f>
        <v>143.71651919391479</v>
      </c>
    </row>
    <row r="181" spans="1:8" x14ac:dyDescent="0.25">
      <c r="A181" s="2">
        <v>44349</v>
      </c>
      <c r="B181" t="s">
        <v>18</v>
      </c>
      <c r="C181" t="s">
        <v>10</v>
      </c>
      <c r="D181" t="s">
        <v>45</v>
      </c>
      <c r="E181" t="s">
        <v>202</v>
      </c>
      <c r="F181" s="1">
        <v>115.90287006586371</v>
      </c>
      <c r="G181" s="1">
        <v>203.92977702263278</v>
      </c>
      <c r="H181" s="1">
        <f>Table1[[#This Row],[Sales]]-Table1[[#This Row],[ Cost Price]]</f>
        <v>88.026906956769068</v>
      </c>
    </row>
    <row r="182" spans="1:8" x14ac:dyDescent="0.25">
      <c r="A182" s="2">
        <v>44715</v>
      </c>
      <c r="B182" t="s">
        <v>26</v>
      </c>
      <c r="C182" t="s">
        <v>14</v>
      </c>
      <c r="D182" t="s">
        <v>56</v>
      </c>
      <c r="E182" t="s">
        <v>203</v>
      </c>
      <c r="F182" s="1">
        <v>247.36265437069815</v>
      </c>
      <c r="G182" s="1">
        <v>360.27268511244921</v>
      </c>
      <c r="H182" s="1">
        <f>Table1[[#This Row],[Sales]]-Table1[[#This Row],[ Cost Price]]</f>
        <v>112.91003074175106</v>
      </c>
    </row>
    <row r="183" spans="1:8" x14ac:dyDescent="0.25">
      <c r="A183" s="2">
        <v>44351</v>
      </c>
      <c r="B183" t="s">
        <v>26</v>
      </c>
      <c r="C183" t="s">
        <v>19</v>
      </c>
      <c r="D183" t="s">
        <v>11</v>
      </c>
      <c r="E183" t="s">
        <v>204</v>
      </c>
      <c r="F183" s="1">
        <v>515.12466815131836</v>
      </c>
      <c r="G183" s="1">
        <v>654.4012336518058</v>
      </c>
      <c r="H183" s="1">
        <f>Table1[[#This Row],[Sales]]-Table1[[#This Row],[ Cost Price]]</f>
        <v>139.27656550048744</v>
      </c>
    </row>
    <row r="184" spans="1:8" x14ac:dyDescent="0.25">
      <c r="A184" s="2">
        <v>44352</v>
      </c>
      <c r="B184" t="s">
        <v>26</v>
      </c>
      <c r="C184" t="s">
        <v>27</v>
      </c>
      <c r="D184" t="s">
        <v>15</v>
      </c>
      <c r="E184" t="s">
        <v>205</v>
      </c>
      <c r="F184" s="1">
        <v>306.44812486737567</v>
      </c>
      <c r="G184" s="1">
        <v>498.04773293315844</v>
      </c>
      <c r="H184" s="1">
        <f>Table1[[#This Row],[Sales]]-Table1[[#This Row],[ Cost Price]]</f>
        <v>191.59960806578277</v>
      </c>
    </row>
    <row r="185" spans="1:8" x14ac:dyDescent="0.25">
      <c r="A185" s="2">
        <v>44718</v>
      </c>
      <c r="B185" t="s">
        <v>26</v>
      </c>
      <c r="C185" t="s">
        <v>31</v>
      </c>
      <c r="D185" t="s">
        <v>20</v>
      </c>
      <c r="E185" t="s">
        <v>206</v>
      </c>
      <c r="F185" s="1">
        <v>314.58571617865204</v>
      </c>
      <c r="G185" s="1">
        <v>526.0162930723892</v>
      </c>
      <c r="H185" s="1">
        <f>Table1[[#This Row],[Sales]]-Table1[[#This Row],[ Cost Price]]</f>
        <v>211.43057689373717</v>
      </c>
    </row>
    <row r="186" spans="1:8" x14ac:dyDescent="0.25">
      <c r="A186" s="2">
        <v>44354</v>
      </c>
      <c r="B186" t="s">
        <v>26</v>
      </c>
      <c r="C186" t="s">
        <v>35</v>
      </c>
      <c r="D186" t="s">
        <v>96</v>
      </c>
      <c r="E186" t="s">
        <v>207</v>
      </c>
      <c r="F186" s="1">
        <v>497.21218784679729</v>
      </c>
      <c r="G186" s="1">
        <v>561.73150991061982</v>
      </c>
      <c r="H186" s="1">
        <f>Table1[[#This Row],[Sales]]-Table1[[#This Row],[ Cost Price]]</f>
        <v>64.519322063822528</v>
      </c>
    </row>
    <row r="187" spans="1:8" x14ac:dyDescent="0.25">
      <c r="A187" s="2">
        <v>44720</v>
      </c>
      <c r="B187" t="s">
        <v>26</v>
      </c>
      <c r="C187" t="s">
        <v>40</v>
      </c>
      <c r="D187" t="s">
        <v>98</v>
      </c>
      <c r="E187" t="s">
        <v>208</v>
      </c>
      <c r="F187" s="1">
        <v>81.703854564155932</v>
      </c>
      <c r="G187" s="1">
        <v>251.55865521943028</v>
      </c>
      <c r="H187" s="1">
        <f>Table1[[#This Row],[Sales]]-Table1[[#This Row],[ Cost Price]]</f>
        <v>169.85480065527435</v>
      </c>
    </row>
    <row r="188" spans="1:8" x14ac:dyDescent="0.25">
      <c r="A188" s="2">
        <v>44356</v>
      </c>
      <c r="B188" t="s">
        <v>30</v>
      </c>
      <c r="C188" t="s">
        <v>23</v>
      </c>
      <c r="D188" t="s">
        <v>100</v>
      </c>
      <c r="E188" t="s">
        <v>209</v>
      </c>
      <c r="F188" s="1">
        <v>77.719540177535663</v>
      </c>
      <c r="G188" s="1">
        <v>112.48894053230561</v>
      </c>
      <c r="H188" s="1">
        <f>Table1[[#This Row],[Sales]]-Table1[[#This Row],[ Cost Price]]</f>
        <v>34.769400354769942</v>
      </c>
    </row>
    <row r="189" spans="1:8" x14ac:dyDescent="0.25">
      <c r="A189" s="2">
        <v>44357</v>
      </c>
      <c r="B189" t="s">
        <v>9</v>
      </c>
      <c r="C189" t="s">
        <v>10</v>
      </c>
      <c r="D189" t="s">
        <v>102</v>
      </c>
      <c r="E189" t="s">
        <v>210</v>
      </c>
      <c r="F189" s="1">
        <v>64.842296623819706</v>
      </c>
      <c r="G189" s="1">
        <v>220.7537820283693</v>
      </c>
      <c r="H189" s="1">
        <f>Table1[[#This Row],[Sales]]-Table1[[#This Row],[ Cost Price]]</f>
        <v>155.91148540454958</v>
      </c>
    </row>
    <row r="190" spans="1:8" x14ac:dyDescent="0.25">
      <c r="A190" s="2">
        <v>44723</v>
      </c>
      <c r="B190" t="s">
        <v>13</v>
      </c>
      <c r="C190" t="s">
        <v>14</v>
      </c>
      <c r="D190" t="s">
        <v>53</v>
      </c>
      <c r="E190" t="s">
        <v>211</v>
      </c>
      <c r="F190" s="1">
        <v>177.07495795484269</v>
      </c>
      <c r="G190" s="1">
        <v>298.40588011643251</v>
      </c>
      <c r="H190" s="1">
        <f>Table1[[#This Row],[Sales]]-Table1[[#This Row],[ Cost Price]]</f>
        <v>121.33092216158983</v>
      </c>
    </row>
    <row r="191" spans="1:8" x14ac:dyDescent="0.25">
      <c r="A191" s="2">
        <v>44359</v>
      </c>
      <c r="B191" t="s">
        <v>18</v>
      </c>
      <c r="C191" t="s">
        <v>19</v>
      </c>
      <c r="D191" t="s">
        <v>45</v>
      </c>
      <c r="E191" t="s">
        <v>212</v>
      </c>
      <c r="F191" s="1">
        <v>605.02734865740899</v>
      </c>
      <c r="G191" s="1">
        <v>750.79249407412738</v>
      </c>
      <c r="H191" s="1">
        <f>Table1[[#This Row],[Sales]]-Table1[[#This Row],[ Cost Price]]</f>
        <v>145.76514541671838</v>
      </c>
    </row>
    <row r="192" spans="1:8" x14ac:dyDescent="0.25">
      <c r="A192" s="2">
        <v>44725</v>
      </c>
      <c r="B192" t="s">
        <v>26</v>
      </c>
      <c r="C192" t="s">
        <v>27</v>
      </c>
      <c r="D192" t="s">
        <v>56</v>
      </c>
      <c r="E192" t="s">
        <v>213</v>
      </c>
      <c r="F192" s="1">
        <v>15.297938418972358</v>
      </c>
      <c r="G192" s="1">
        <v>137.80443170579892</v>
      </c>
      <c r="H192" s="1">
        <f>Table1[[#This Row],[Sales]]-Table1[[#This Row],[ Cost Price]]</f>
        <v>122.50649328682655</v>
      </c>
    </row>
    <row r="193" spans="1:8" x14ac:dyDescent="0.25">
      <c r="A193" s="2">
        <v>44361</v>
      </c>
      <c r="B193" t="s">
        <v>26</v>
      </c>
      <c r="C193" t="s">
        <v>23</v>
      </c>
      <c r="D193" t="s">
        <v>11</v>
      </c>
      <c r="E193" t="s">
        <v>214</v>
      </c>
      <c r="F193" s="1">
        <v>910.20571433188445</v>
      </c>
      <c r="G193" s="1">
        <v>1126.7977767794227</v>
      </c>
      <c r="H193" s="1">
        <f>Table1[[#This Row],[Sales]]-Table1[[#This Row],[ Cost Price]]</f>
        <v>216.5920624475383</v>
      </c>
    </row>
    <row r="194" spans="1:8" x14ac:dyDescent="0.25">
      <c r="A194" s="2">
        <v>44362</v>
      </c>
      <c r="B194" t="s">
        <v>26</v>
      </c>
      <c r="C194" t="s">
        <v>23</v>
      </c>
      <c r="D194" t="s">
        <v>15</v>
      </c>
      <c r="E194" t="s">
        <v>215</v>
      </c>
      <c r="F194" s="1">
        <v>498.38484632201198</v>
      </c>
      <c r="G194" s="1">
        <v>569.16178314747322</v>
      </c>
      <c r="H194" s="1">
        <f>Table1[[#This Row],[Sales]]-Table1[[#This Row],[ Cost Price]]</f>
        <v>70.776936825461235</v>
      </c>
    </row>
    <row r="195" spans="1:8" x14ac:dyDescent="0.25">
      <c r="A195" s="2">
        <v>44728</v>
      </c>
      <c r="B195" t="s">
        <v>26</v>
      </c>
      <c r="C195" t="s">
        <v>23</v>
      </c>
      <c r="D195" t="s">
        <v>20</v>
      </c>
      <c r="E195" t="s">
        <v>216</v>
      </c>
      <c r="F195" s="1">
        <v>378.42176512327507</v>
      </c>
      <c r="G195" s="1">
        <v>392.56049604268793</v>
      </c>
      <c r="H195" s="1">
        <f>Table1[[#This Row],[Sales]]-Table1[[#This Row],[ Cost Price]]</f>
        <v>14.138730919412865</v>
      </c>
    </row>
    <row r="196" spans="1:8" x14ac:dyDescent="0.25">
      <c r="A196" s="2">
        <v>44364</v>
      </c>
      <c r="B196" t="s">
        <v>26</v>
      </c>
      <c r="C196" t="s">
        <v>23</v>
      </c>
      <c r="D196" t="s">
        <v>96</v>
      </c>
      <c r="E196" t="s">
        <v>217</v>
      </c>
      <c r="F196" s="1">
        <v>296.43130223231498</v>
      </c>
      <c r="G196" s="1">
        <v>352.5255450597939</v>
      </c>
      <c r="H196" s="1">
        <f>Table1[[#This Row],[Sales]]-Table1[[#This Row],[ Cost Price]]</f>
        <v>56.094242827478922</v>
      </c>
    </row>
    <row r="197" spans="1:8" x14ac:dyDescent="0.25">
      <c r="A197" s="2">
        <v>44730</v>
      </c>
      <c r="B197" t="s">
        <v>26</v>
      </c>
      <c r="C197" t="s">
        <v>10</v>
      </c>
      <c r="D197" t="s">
        <v>98</v>
      </c>
      <c r="E197" t="s">
        <v>218</v>
      </c>
      <c r="F197" s="1">
        <v>729.918918194556</v>
      </c>
      <c r="G197" s="1">
        <v>853.80241037545261</v>
      </c>
      <c r="H197" s="1">
        <f>Table1[[#This Row],[Sales]]-Table1[[#This Row],[ Cost Price]]</f>
        <v>123.88349218089661</v>
      </c>
    </row>
    <row r="198" spans="1:8" x14ac:dyDescent="0.25">
      <c r="A198" s="2">
        <v>44766</v>
      </c>
      <c r="B198" t="s">
        <v>18</v>
      </c>
      <c r="C198" t="s">
        <v>40</v>
      </c>
      <c r="D198" t="s">
        <v>11</v>
      </c>
      <c r="E198" t="s">
        <v>219</v>
      </c>
      <c r="F198" s="1">
        <v>25.279889869197987</v>
      </c>
      <c r="G198" s="1">
        <v>193.50283009704845</v>
      </c>
      <c r="H198" s="1">
        <f>Table1[[#This Row],[Sales]]-Table1[[#This Row],[ Cost Price]]</f>
        <v>168.22294022785047</v>
      </c>
    </row>
    <row r="199" spans="1:8" x14ac:dyDescent="0.25">
      <c r="A199" s="2">
        <v>44433</v>
      </c>
      <c r="B199" t="s">
        <v>18</v>
      </c>
      <c r="C199" t="s">
        <v>23</v>
      </c>
      <c r="D199" t="s">
        <v>15</v>
      </c>
      <c r="E199" t="s">
        <v>220</v>
      </c>
      <c r="F199" s="1">
        <v>308.32009679745272</v>
      </c>
      <c r="G199" s="1">
        <v>318.97031777582185</v>
      </c>
      <c r="H199" s="1">
        <f>Table1[[#This Row],[Sales]]-Table1[[#This Row],[ Cost Price]]</f>
        <v>10.650220978369134</v>
      </c>
    </row>
    <row r="200" spans="1:8" x14ac:dyDescent="0.25">
      <c r="A200" s="2">
        <v>44475</v>
      </c>
      <c r="B200" t="s">
        <v>18</v>
      </c>
      <c r="C200" t="s">
        <v>10</v>
      </c>
      <c r="D200" t="s">
        <v>20</v>
      </c>
      <c r="E200" t="s">
        <v>221</v>
      </c>
      <c r="F200" s="1">
        <v>250.48184114639054</v>
      </c>
      <c r="G200" s="1">
        <v>367.05630722541605</v>
      </c>
      <c r="H200" s="1">
        <f>Table1[[#This Row],[Sales]]-Table1[[#This Row],[ Cost Price]]</f>
        <v>116.57446607902551</v>
      </c>
    </row>
    <row r="201" spans="1:8" x14ac:dyDescent="0.25">
      <c r="A201" s="2">
        <v>44800</v>
      </c>
      <c r="B201" t="s">
        <v>18</v>
      </c>
      <c r="C201" t="s">
        <v>14</v>
      </c>
      <c r="D201" t="s">
        <v>96</v>
      </c>
      <c r="E201" t="s">
        <v>47</v>
      </c>
      <c r="F201" s="1">
        <v>667.73600633242722</v>
      </c>
      <c r="G201" s="1">
        <v>854.92637937033442</v>
      </c>
      <c r="H201" s="1">
        <f>Table1[[#This Row],[Sales]]-Table1[[#This Row],[ Cost Price]]</f>
        <v>187.19037303790719</v>
      </c>
    </row>
    <row r="202" spans="1:8" x14ac:dyDescent="0.25">
      <c r="A202" s="2">
        <v>44365</v>
      </c>
      <c r="B202" t="s">
        <v>26</v>
      </c>
      <c r="C202" t="s">
        <v>14</v>
      </c>
      <c r="D202" t="s">
        <v>98</v>
      </c>
      <c r="E202" t="s">
        <v>48</v>
      </c>
      <c r="F202" s="1">
        <v>559.34497050090806</v>
      </c>
      <c r="G202" s="1">
        <v>704.99179337082228</v>
      </c>
      <c r="H202" s="1">
        <f>Table1[[#This Row],[Sales]]-Table1[[#This Row],[ Cost Price]]</f>
        <v>145.64682286991422</v>
      </c>
    </row>
    <row r="203" spans="1:8" x14ac:dyDescent="0.25">
      <c r="A203" s="2">
        <v>44731</v>
      </c>
      <c r="B203" t="s">
        <v>30</v>
      </c>
      <c r="C203" t="s">
        <v>14</v>
      </c>
      <c r="D203" t="s">
        <v>100</v>
      </c>
      <c r="E203" t="s">
        <v>49</v>
      </c>
      <c r="F203" s="1">
        <v>753.18012965166542</v>
      </c>
      <c r="G203" s="1">
        <v>850.02614780403053</v>
      </c>
      <c r="H203" s="1">
        <f>Table1[[#This Row],[Sales]]-Table1[[#This Row],[ Cost Price]]</f>
        <v>96.846018152365104</v>
      </c>
    </row>
    <row r="204" spans="1:8" x14ac:dyDescent="0.25">
      <c r="A204" s="2">
        <v>44407</v>
      </c>
      <c r="B204" t="s">
        <v>9</v>
      </c>
      <c r="C204" t="s">
        <v>14</v>
      </c>
      <c r="D204" t="s">
        <v>102</v>
      </c>
      <c r="E204" t="s">
        <v>50</v>
      </c>
      <c r="F204" s="1">
        <v>680.3135241502298</v>
      </c>
      <c r="G204" s="1">
        <v>778.00682628205254</v>
      </c>
      <c r="H204" s="1">
        <f>Table1[[#This Row],[Sales]]-Table1[[#This Row],[ Cost Price]]</f>
        <v>97.693302131822747</v>
      </c>
    </row>
    <row r="205" spans="1:8" x14ac:dyDescent="0.25">
      <c r="A205" s="2">
        <v>44774</v>
      </c>
      <c r="B205" t="s">
        <v>26</v>
      </c>
      <c r="C205" t="s">
        <v>14</v>
      </c>
      <c r="D205" t="s">
        <v>53</v>
      </c>
      <c r="E205" t="s">
        <v>222</v>
      </c>
      <c r="F205" s="1">
        <v>439.34282309129281</v>
      </c>
      <c r="G205" s="1">
        <v>492.72786603291388</v>
      </c>
      <c r="H205" s="1">
        <f>Table1[[#This Row],[Sales]]-Table1[[#This Row],[ Cost Price]]</f>
        <v>53.385042941621066</v>
      </c>
    </row>
    <row r="206" spans="1:8" x14ac:dyDescent="0.25">
      <c r="A206" s="2">
        <v>44366</v>
      </c>
      <c r="B206" t="s">
        <v>30</v>
      </c>
      <c r="C206" t="s">
        <v>14</v>
      </c>
      <c r="D206" t="s">
        <v>100</v>
      </c>
      <c r="E206" t="s">
        <v>223</v>
      </c>
      <c r="F206" s="1">
        <v>646.80339465307134</v>
      </c>
      <c r="G206" s="1">
        <v>877.33820621651228</v>
      </c>
      <c r="H206" s="1">
        <f>Table1[[#This Row],[Sales]]-Table1[[#This Row],[ Cost Price]]</f>
        <v>230.53481156344094</v>
      </c>
    </row>
    <row r="207" spans="1:8" x14ac:dyDescent="0.25">
      <c r="A207" s="2">
        <v>44367</v>
      </c>
      <c r="B207" t="s">
        <v>9</v>
      </c>
      <c r="C207" t="s">
        <v>19</v>
      </c>
      <c r="D207" t="s">
        <v>102</v>
      </c>
      <c r="E207" t="s">
        <v>224</v>
      </c>
      <c r="F207" s="1">
        <v>491.41789364778214</v>
      </c>
      <c r="G207" s="1">
        <v>691.2752854770664</v>
      </c>
      <c r="H207" s="1">
        <f>Table1[[#This Row],[Sales]]-Table1[[#This Row],[ Cost Price]]</f>
        <v>199.85739182928427</v>
      </c>
    </row>
    <row r="208" spans="1:8" x14ac:dyDescent="0.25">
      <c r="A208" s="2">
        <v>44368</v>
      </c>
      <c r="B208" t="s">
        <v>13</v>
      </c>
      <c r="C208" t="s">
        <v>27</v>
      </c>
      <c r="D208" t="s">
        <v>53</v>
      </c>
      <c r="E208" t="s">
        <v>225</v>
      </c>
      <c r="F208" s="1">
        <v>549.55845302111857</v>
      </c>
      <c r="G208" s="1">
        <v>700.04012886854434</v>
      </c>
      <c r="H208" s="1">
        <f>Table1[[#This Row],[Sales]]-Table1[[#This Row],[ Cost Price]]</f>
        <v>150.48167584742578</v>
      </c>
    </row>
    <row r="209" spans="1:8" x14ac:dyDescent="0.25">
      <c r="A209" s="2">
        <v>44734</v>
      </c>
      <c r="B209" t="s">
        <v>18</v>
      </c>
      <c r="C209" t="s">
        <v>31</v>
      </c>
      <c r="D209" t="s">
        <v>45</v>
      </c>
      <c r="E209" t="s">
        <v>226</v>
      </c>
      <c r="F209" s="1">
        <v>1231.1782665536907</v>
      </c>
      <c r="G209" s="1">
        <v>1314.9715319366549</v>
      </c>
      <c r="H209" s="1">
        <f>Table1[[#This Row],[Sales]]-Table1[[#This Row],[ Cost Price]]</f>
        <v>83.793265382964137</v>
      </c>
    </row>
    <row r="210" spans="1:8" x14ac:dyDescent="0.25">
      <c r="A210" s="2">
        <v>44370</v>
      </c>
      <c r="B210" t="s">
        <v>18</v>
      </c>
      <c r="C210" t="s">
        <v>35</v>
      </c>
      <c r="D210" t="s">
        <v>56</v>
      </c>
      <c r="E210" t="s">
        <v>227</v>
      </c>
      <c r="F210" s="1">
        <v>118.24779500090249</v>
      </c>
      <c r="G210" s="1">
        <v>128.76282010400871</v>
      </c>
      <c r="H210" s="1">
        <f>Table1[[#This Row],[Sales]]-Table1[[#This Row],[ Cost Price]]</f>
        <v>10.515025103106225</v>
      </c>
    </row>
    <row r="211" spans="1:8" x14ac:dyDescent="0.25">
      <c r="A211" s="2">
        <v>44371</v>
      </c>
      <c r="B211" t="s">
        <v>18</v>
      </c>
      <c r="C211" t="s">
        <v>40</v>
      </c>
      <c r="D211" t="s">
        <v>11</v>
      </c>
      <c r="E211" t="s">
        <v>219</v>
      </c>
      <c r="F211" s="1">
        <v>25.279889869197987</v>
      </c>
      <c r="G211" s="1">
        <v>193.50283009704845</v>
      </c>
      <c r="H211" s="1">
        <f>Table1[[#This Row],[Sales]]-Table1[[#This Row],[ Cost Price]]</f>
        <v>168.22294022785047</v>
      </c>
    </row>
    <row r="212" spans="1:8" x14ac:dyDescent="0.25">
      <c r="A212" s="2">
        <v>44372</v>
      </c>
      <c r="B212" t="s">
        <v>18</v>
      </c>
      <c r="C212" t="s">
        <v>23</v>
      </c>
      <c r="D212" t="s">
        <v>15</v>
      </c>
      <c r="E212" t="s">
        <v>220</v>
      </c>
      <c r="F212" s="1">
        <v>308.32009679745272</v>
      </c>
      <c r="G212" s="1">
        <v>318.97031777582185</v>
      </c>
      <c r="H212" s="1">
        <f>Table1[[#This Row],[Sales]]-Table1[[#This Row],[ Cost Price]]</f>
        <v>10.650220978369134</v>
      </c>
    </row>
    <row r="213" spans="1:8" x14ac:dyDescent="0.25">
      <c r="A213" s="2">
        <v>44738</v>
      </c>
      <c r="B213" t="s">
        <v>18</v>
      </c>
      <c r="C213" t="s">
        <v>10</v>
      </c>
      <c r="D213" t="s">
        <v>20</v>
      </c>
      <c r="E213" t="s">
        <v>221</v>
      </c>
      <c r="F213" s="1">
        <v>250.48184114639054</v>
      </c>
      <c r="G213" s="1">
        <v>367.05630722541605</v>
      </c>
      <c r="H213" s="1">
        <f>Table1[[#This Row],[Sales]]-Table1[[#This Row],[ Cost Price]]</f>
        <v>116.57446607902551</v>
      </c>
    </row>
    <row r="214" spans="1:8" x14ac:dyDescent="0.25">
      <c r="A214" s="2">
        <v>44374</v>
      </c>
      <c r="B214" t="s">
        <v>18</v>
      </c>
      <c r="C214" t="s">
        <v>14</v>
      </c>
      <c r="D214" t="s">
        <v>96</v>
      </c>
      <c r="E214" t="s">
        <v>47</v>
      </c>
      <c r="F214" s="1">
        <v>667.73600633242722</v>
      </c>
      <c r="G214" s="1">
        <v>854.92637937033442</v>
      </c>
      <c r="H214" s="1">
        <f>Table1[[#This Row],[Sales]]-Table1[[#This Row],[ Cost Price]]</f>
        <v>187.19037303790719</v>
      </c>
    </row>
    <row r="215" spans="1:8" x14ac:dyDescent="0.25">
      <c r="A215" s="2">
        <v>44375</v>
      </c>
      <c r="B215" t="s">
        <v>26</v>
      </c>
      <c r="C215" t="s">
        <v>14</v>
      </c>
      <c r="D215" t="s">
        <v>98</v>
      </c>
      <c r="E215" t="s">
        <v>48</v>
      </c>
      <c r="F215" s="1">
        <v>559.34497050090806</v>
      </c>
      <c r="G215" s="1">
        <v>704.99179337082228</v>
      </c>
      <c r="H215" s="1">
        <f>Table1[[#This Row],[Sales]]-Table1[[#This Row],[ Cost Price]]</f>
        <v>145.64682286991422</v>
      </c>
    </row>
    <row r="216" spans="1:8" x14ac:dyDescent="0.25">
      <c r="A216" s="2">
        <v>44376</v>
      </c>
      <c r="B216" t="s">
        <v>30</v>
      </c>
      <c r="C216" t="s">
        <v>14</v>
      </c>
      <c r="D216" t="s">
        <v>100</v>
      </c>
      <c r="E216" t="s">
        <v>49</v>
      </c>
      <c r="F216" s="1">
        <v>753.18012965166542</v>
      </c>
      <c r="G216" s="1">
        <v>850.02614780403053</v>
      </c>
      <c r="H216" s="1">
        <f>Table1[[#This Row],[Sales]]-Table1[[#This Row],[ Cost Price]]</f>
        <v>96.846018152365104</v>
      </c>
    </row>
    <row r="217" spans="1:8" x14ac:dyDescent="0.25">
      <c r="A217" s="2">
        <v>44377</v>
      </c>
      <c r="B217" t="s">
        <v>9</v>
      </c>
      <c r="C217" t="s">
        <v>14</v>
      </c>
      <c r="D217" t="s">
        <v>102</v>
      </c>
      <c r="E217" t="s">
        <v>50</v>
      </c>
      <c r="F217" s="1">
        <v>680.3135241502298</v>
      </c>
      <c r="G217" s="1">
        <v>778.00682628205254</v>
      </c>
      <c r="H217" s="1">
        <f>Table1[[#This Row],[Sales]]-Table1[[#This Row],[ Cost Price]]</f>
        <v>97.693302131822747</v>
      </c>
    </row>
    <row r="218" spans="1:8" x14ac:dyDescent="0.25">
      <c r="A218" s="2">
        <v>44743</v>
      </c>
      <c r="B218" t="s">
        <v>26</v>
      </c>
      <c r="C218" t="s">
        <v>14</v>
      </c>
      <c r="D218" t="s">
        <v>53</v>
      </c>
      <c r="E218" t="s">
        <v>222</v>
      </c>
      <c r="F218" s="1">
        <v>439.34282309129281</v>
      </c>
      <c r="G218" s="1">
        <v>492.72786603291388</v>
      </c>
      <c r="H218" s="1">
        <f>Table1[[#This Row],[Sales]]-Table1[[#This Row],[ Cost Price]]</f>
        <v>53.385042941621066</v>
      </c>
    </row>
    <row r="219" spans="1:8" x14ac:dyDescent="0.25">
      <c r="A219" s="2">
        <v>44379</v>
      </c>
      <c r="B219" t="s">
        <v>26</v>
      </c>
      <c r="C219" t="s">
        <v>14</v>
      </c>
      <c r="D219" t="s">
        <v>45</v>
      </c>
      <c r="E219" t="s">
        <v>228</v>
      </c>
      <c r="F219" s="1">
        <v>1107.1708536491724</v>
      </c>
      <c r="G219" s="1">
        <v>1136.2964092643724</v>
      </c>
      <c r="H219" s="1">
        <f>Table1[[#This Row],[Sales]]-Table1[[#This Row],[ Cost Price]]</f>
        <v>29.125555615200028</v>
      </c>
    </row>
    <row r="220" spans="1:8" x14ac:dyDescent="0.25">
      <c r="A220" s="2">
        <v>44380</v>
      </c>
      <c r="B220" t="s">
        <v>26</v>
      </c>
      <c r="C220" t="s">
        <v>14</v>
      </c>
      <c r="D220" t="s">
        <v>56</v>
      </c>
      <c r="E220" t="s">
        <v>229</v>
      </c>
      <c r="F220" s="1">
        <v>752.07125666885918</v>
      </c>
      <c r="G220" s="1">
        <v>812.2732195224354</v>
      </c>
      <c r="H220" s="1">
        <f>Table1[[#This Row],[Sales]]-Table1[[#This Row],[ Cost Price]]</f>
        <v>60.201962853576219</v>
      </c>
    </row>
    <row r="221" spans="1:8" x14ac:dyDescent="0.25">
      <c r="A221" s="2">
        <v>44746</v>
      </c>
      <c r="B221" t="s">
        <v>30</v>
      </c>
      <c r="C221" t="s">
        <v>14</v>
      </c>
      <c r="D221" t="s">
        <v>11</v>
      </c>
      <c r="E221" t="s">
        <v>230</v>
      </c>
      <c r="F221" s="1">
        <v>177.22401021932467</v>
      </c>
      <c r="G221" s="1">
        <v>425.04123880626327</v>
      </c>
      <c r="H221" s="1">
        <f>Table1[[#This Row],[Sales]]-Table1[[#This Row],[ Cost Price]]</f>
        <v>247.8172285869386</v>
      </c>
    </row>
    <row r="222" spans="1:8" x14ac:dyDescent="0.25">
      <c r="A222" s="2">
        <v>44382</v>
      </c>
      <c r="B222" t="s">
        <v>9</v>
      </c>
      <c r="C222" t="s">
        <v>14</v>
      </c>
      <c r="D222" t="s">
        <v>15</v>
      </c>
      <c r="E222" t="s">
        <v>231</v>
      </c>
      <c r="F222" s="1">
        <v>485.11606130549603</v>
      </c>
      <c r="G222" s="1">
        <v>592.36128945372093</v>
      </c>
      <c r="H222" s="1">
        <f>Table1[[#This Row],[Sales]]-Table1[[#This Row],[ Cost Price]]</f>
        <v>107.2452281482249</v>
      </c>
    </row>
    <row r="223" spans="1:8" x14ac:dyDescent="0.25">
      <c r="A223" s="2">
        <v>44383</v>
      </c>
      <c r="B223" t="s">
        <v>13</v>
      </c>
      <c r="C223" t="s">
        <v>19</v>
      </c>
      <c r="D223" t="s">
        <v>20</v>
      </c>
      <c r="E223" t="s">
        <v>232</v>
      </c>
      <c r="F223" s="1">
        <v>282.15928164722067</v>
      </c>
      <c r="G223" s="1">
        <v>309.65634927387674</v>
      </c>
      <c r="H223" s="1">
        <f>Table1[[#This Row],[Sales]]-Table1[[#This Row],[ Cost Price]]</f>
        <v>27.497067626656076</v>
      </c>
    </row>
    <row r="224" spans="1:8" x14ac:dyDescent="0.25">
      <c r="A224" s="2">
        <v>44384</v>
      </c>
      <c r="B224" t="s">
        <v>18</v>
      </c>
      <c r="C224" t="s">
        <v>27</v>
      </c>
      <c r="D224" t="s">
        <v>96</v>
      </c>
      <c r="E224" t="s">
        <v>233</v>
      </c>
      <c r="F224" s="1">
        <v>695.2366236267892</v>
      </c>
      <c r="G224" s="1">
        <v>836.09265276372003</v>
      </c>
      <c r="H224" s="1">
        <f>Table1[[#This Row],[Sales]]-Table1[[#This Row],[ Cost Price]]</f>
        <v>140.85602913693083</v>
      </c>
    </row>
    <row r="225" spans="1:8" x14ac:dyDescent="0.25">
      <c r="A225" s="2">
        <v>44385</v>
      </c>
      <c r="B225" t="s">
        <v>9</v>
      </c>
      <c r="C225" t="s">
        <v>31</v>
      </c>
      <c r="D225" t="s">
        <v>98</v>
      </c>
      <c r="E225" t="s">
        <v>234</v>
      </c>
      <c r="F225" s="1">
        <v>602.95602226882636</v>
      </c>
      <c r="G225" s="1">
        <v>687.12157043628997</v>
      </c>
      <c r="H225" s="1">
        <f>Table1[[#This Row],[Sales]]-Table1[[#This Row],[ Cost Price]]</f>
        <v>84.165548167463612</v>
      </c>
    </row>
    <row r="226" spans="1:8" x14ac:dyDescent="0.25">
      <c r="A226" s="2">
        <v>44386</v>
      </c>
      <c r="B226" t="s">
        <v>9</v>
      </c>
      <c r="C226" t="s">
        <v>35</v>
      </c>
      <c r="D226" t="s">
        <v>100</v>
      </c>
      <c r="E226" t="s">
        <v>235</v>
      </c>
      <c r="F226" s="1">
        <v>724.08417582076959</v>
      </c>
      <c r="G226" s="1">
        <v>839.92824820057206</v>
      </c>
      <c r="H226" s="1">
        <f>Table1[[#This Row],[Sales]]-Table1[[#This Row],[ Cost Price]]</f>
        <v>115.84407237980247</v>
      </c>
    </row>
    <row r="227" spans="1:8" x14ac:dyDescent="0.25">
      <c r="A227" s="2">
        <v>44752</v>
      </c>
      <c r="B227" t="s">
        <v>9</v>
      </c>
      <c r="C227" t="s">
        <v>40</v>
      </c>
      <c r="D227" t="s">
        <v>102</v>
      </c>
      <c r="E227" t="s">
        <v>236</v>
      </c>
      <c r="F227" s="1">
        <v>642.72484586174846</v>
      </c>
      <c r="G227" s="1">
        <v>730.92696699961425</v>
      </c>
      <c r="H227" s="1">
        <f>Table1[[#This Row],[Sales]]-Table1[[#This Row],[ Cost Price]]</f>
        <v>88.202121137865788</v>
      </c>
    </row>
    <row r="228" spans="1:8" x14ac:dyDescent="0.25">
      <c r="A228" s="2">
        <v>44388</v>
      </c>
      <c r="B228" t="s">
        <v>13</v>
      </c>
      <c r="C228" t="s">
        <v>23</v>
      </c>
      <c r="D228" t="s">
        <v>53</v>
      </c>
      <c r="E228" t="s">
        <v>237</v>
      </c>
      <c r="F228" s="1">
        <v>123.28648424194779</v>
      </c>
      <c r="G228" s="1">
        <v>384.31464973479507</v>
      </c>
      <c r="H228" s="1">
        <f>Table1[[#This Row],[Sales]]-Table1[[#This Row],[ Cost Price]]</f>
        <v>261.02816549284728</v>
      </c>
    </row>
    <row r="229" spans="1:8" x14ac:dyDescent="0.25">
      <c r="A229" s="2">
        <v>44389</v>
      </c>
      <c r="B229" t="s">
        <v>18</v>
      </c>
      <c r="C229" t="s">
        <v>10</v>
      </c>
      <c r="D229" t="s">
        <v>45</v>
      </c>
      <c r="E229" t="s">
        <v>238</v>
      </c>
      <c r="F229" s="1">
        <v>235.13495425425435</v>
      </c>
      <c r="G229" s="1">
        <v>366.32459347637462</v>
      </c>
      <c r="H229" s="1">
        <f>Table1[[#This Row],[Sales]]-Table1[[#This Row],[ Cost Price]]</f>
        <v>131.18963922212026</v>
      </c>
    </row>
    <row r="230" spans="1:8" x14ac:dyDescent="0.25">
      <c r="A230" s="2">
        <v>44390</v>
      </c>
      <c r="B230" t="s">
        <v>26</v>
      </c>
      <c r="C230" t="s">
        <v>10</v>
      </c>
      <c r="D230" t="s">
        <v>56</v>
      </c>
      <c r="E230" t="s">
        <v>239</v>
      </c>
      <c r="F230" s="1">
        <v>430.92092410813513</v>
      </c>
      <c r="G230" s="1">
        <v>588.93750317308093</v>
      </c>
      <c r="H230" s="1">
        <f>Table1[[#This Row],[Sales]]-Table1[[#This Row],[ Cost Price]]</f>
        <v>158.0165790649458</v>
      </c>
    </row>
    <row r="231" spans="1:8" x14ac:dyDescent="0.25">
      <c r="A231" s="2">
        <v>44756</v>
      </c>
      <c r="B231" t="s">
        <v>18</v>
      </c>
      <c r="C231" t="s">
        <v>10</v>
      </c>
      <c r="D231" t="s">
        <v>11</v>
      </c>
      <c r="E231" t="s">
        <v>240</v>
      </c>
      <c r="F231" s="1">
        <v>371.97193572458599</v>
      </c>
      <c r="G231" s="1">
        <v>582.79547511836597</v>
      </c>
      <c r="H231" s="1">
        <f>Table1[[#This Row],[Sales]]-Table1[[#This Row],[ Cost Price]]</f>
        <v>210.82353939377998</v>
      </c>
    </row>
    <row r="232" spans="1:8" x14ac:dyDescent="0.25">
      <c r="A232" s="2">
        <v>44392</v>
      </c>
      <c r="B232" t="s">
        <v>18</v>
      </c>
      <c r="C232" t="s">
        <v>10</v>
      </c>
      <c r="D232" t="s">
        <v>15</v>
      </c>
      <c r="E232" t="s">
        <v>241</v>
      </c>
      <c r="F232" s="1">
        <v>768.83738582305432</v>
      </c>
      <c r="G232" s="1">
        <v>844.82238692626936</v>
      </c>
      <c r="H232" s="1">
        <f>Table1[[#This Row],[Sales]]-Table1[[#This Row],[ Cost Price]]</f>
        <v>75.985001103215041</v>
      </c>
    </row>
    <row r="233" spans="1:8" x14ac:dyDescent="0.25">
      <c r="A233" s="2">
        <v>44758</v>
      </c>
      <c r="B233" t="s">
        <v>18</v>
      </c>
      <c r="C233" t="s">
        <v>31</v>
      </c>
      <c r="D233" t="s">
        <v>20</v>
      </c>
      <c r="E233" t="s">
        <v>242</v>
      </c>
      <c r="F233" s="1">
        <v>585.28836925339317</v>
      </c>
      <c r="G233" s="1">
        <v>632.97757899736882</v>
      </c>
      <c r="H233" s="1">
        <f>Table1[[#This Row],[Sales]]-Table1[[#This Row],[ Cost Price]]</f>
        <v>47.689209743975653</v>
      </c>
    </row>
    <row r="234" spans="1:8" x14ac:dyDescent="0.25">
      <c r="A234" s="2">
        <v>44394</v>
      </c>
      <c r="B234" t="s">
        <v>18</v>
      </c>
      <c r="C234" t="s">
        <v>35</v>
      </c>
      <c r="D234" t="s">
        <v>96</v>
      </c>
      <c r="E234" t="s">
        <v>243</v>
      </c>
      <c r="F234" s="1">
        <v>437.97507767613422</v>
      </c>
      <c r="G234" s="1">
        <v>555.47006635255275</v>
      </c>
      <c r="H234" s="1">
        <f>Table1[[#This Row],[Sales]]-Table1[[#This Row],[ Cost Price]]</f>
        <v>117.49498867641853</v>
      </c>
    </row>
    <row r="235" spans="1:8" x14ac:dyDescent="0.25">
      <c r="A235" s="2">
        <v>44395</v>
      </c>
      <c r="B235" t="s">
        <v>26</v>
      </c>
      <c r="C235" t="s">
        <v>40</v>
      </c>
      <c r="D235" t="s">
        <v>98</v>
      </c>
      <c r="E235" t="s">
        <v>244</v>
      </c>
      <c r="F235" s="1">
        <v>62.549958176176531</v>
      </c>
      <c r="G235" s="1">
        <v>82.464114718036996</v>
      </c>
      <c r="H235" s="1">
        <f>Table1[[#This Row],[Sales]]-Table1[[#This Row],[ Cost Price]]</f>
        <v>19.914156541860464</v>
      </c>
    </row>
    <row r="236" spans="1:8" x14ac:dyDescent="0.25">
      <c r="A236" s="2">
        <v>44761</v>
      </c>
      <c r="B236" t="s">
        <v>30</v>
      </c>
      <c r="C236" t="s">
        <v>23</v>
      </c>
      <c r="D236" t="s">
        <v>100</v>
      </c>
      <c r="E236" t="s">
        <v>245</v>
      </c>
      <c r="F236" s="1">
        <v>334.15517735154395</v>
      </c>
      <c r="G236" s="1">
        <v>418.9426172341623</v>
      </c>
      <c r="H236" s="1">
        <f>Table1[[#This Row],[Sales]]-Table1[[#This Row],[ Cost Price]]</f>
        <v>84.787439882618344</v>
      </c>
    </row>
    <row r="237" spans="1:8" x14ac:dyDescent="0.25">
      <c r="A237" s="2">
        <v>44397</v>
      </c>
      <c r="B237" t="s">
        <v>9</v>
      </c>
      <c r="C237" t="s">
        <v>10</v>
      </c>
      <c r="D237" t="s">
        <v>102</v>
      </c>
      <c r="E237" t="s">
        <v>246</v>
      </c>
      <c r="F237" s="1">
        <v>220.21463191121299</v>
      </c>
      <c r="G237" s="1">
        <v>314.35915086059288</v>
      </c>
      <c r="H237" s="1">
        <f>Table1[[#This Row],[Sales]]-Table1[[#This Row],[ Cost Price]]</f>
        <v>94.144518949379886</v>
      </c>
    </row>
    <row r="238" spans="1:8" x14ac:dyDescent="0.25">
      <c r="A238" s="2">
        <v>44763</v>
      </c>
      <c r="B238" t="s">
        <v>9</v>
      </c>
      <c r="C238" t="s">
        <v>14</v>
      </c>
      <c r="D238" t="s">
        <v>53</v>
      </c>
      <c r="E238" t="s">
        <v>247</v>
      </c>
      <c r="F238" s="1">
        <v>400.81859239157944</v>
      </c>
      <c r="G238" s="1">
        <v>507.87437950777382</v>
      </c>
      <c r="H238" s="1">
        <f>Table1[[#This Row],[Sales]]-Table1[[#This Row],[ Cost Price]]</f>
        <v>107.05578711619438</v>
      </c>
    </row>
    <row r="239" spans="1:8" x14ac:dyDescent="0.25">
      <c r="A239" s="2">
        <v>44399</v>
      </c>
      <c r="B239" t="s">
        <v>9</v>
      </c>
      <c r="C239" t="s">
        <v>19</v>
      </c>
      <c r="D239" t="s">
        <v>45</v>
      </c>
      <c r="E239" t="s">
        <v>248</v>
      </c>
      <c r="F239" s="1">
        <v>11.613378909048091</v>
      </c>
      <c r="G239" s="1">
        <v>83.248624445995034</v>
      </c>
      <c r="H239" s="1">
        <f>Table1[[#This Row],[Sales]]-Table1[[#This Row],[ Cost Price]]</f>
        <v>71.63524553694694</v>
      </c>
    </row>
    <row r="240" spans="1:8" x14ac:dyDescent="0.25">
      <c r="A240" s="2">
        <v>44400</v>
      </c>
      <c r="B240" t="s">
        <v>9</v>
      </c>
      <c r="C240" t="s">
        <v>19</v>
      </c>
      <c r="D240" t="s">
        <v>56</v>
      </c>
      <c r="E240" t="s">
        <v>249</v>
      </c>
      <c r="F240" s="1">
        <v>561.56954920905162</v>
      </c>
      <c r="G240" s="1">
        <v>642.27648711057782</v>
      </c>
      <c r="H240" s="1">
        <f>Table1[[#This Row],[Sales]]-Table1[[#This Row],[ Cost Price]]</f>
        <v>80.706937901526203</v>
      </c>
    </row>
    <row r="241" spans="1:8" x14ac:dyDescent="0.25">
      <c r="A241" s="2">
        <v>44766</v>
      </c>
      <c r="B241" t="s">
        <v>9</v>
      </c>
      <c r="C241" t="s">
        <v>19</v>
      </c>
      <c r="D241" t="s">
        <v>11</v>
      </c>
      <c r="E241" t="s">
        <v>250</v>
      </c>
      <c r="F241" s="1">
        <v>177.24392873786465</v>
      </c>
      <c r="G241" s="1">
        <v>330.46285526830866</v>
      </c>
      <c r="H241" s="1">
        <f>Table1[[#This Row],[Sales]]-Table1[[#This Row],[ Cost Price]]</f>
        <v>153.21892653044401</v>
      </c>
    </row>
    <row r="242" spans="1:8" x14ac:dyDescent="0.25">
      <c r="A242" s="2">
        <v>44402</v>
      </c>
      <c r="B242" t="s">
        <v>9</v>
      </c>
      <c r="C242" t="s">
        <v>19</v>
      </c>
      <c r="D242" t="s">
        <v>15</v>
      </c>
      <c r="E242" t="s">
        <v>251</v>
      </c>
      <c r="F242" s="1">
        <v>634.59922336308409</v>
      </c>
      <c r="G242" s="1">
        <v>710.42529813437727</v>
      </c>
      <c r="H242" s="1">
        <f>Table1[[#This Row],[Sales]]-Table1[[#This Row],[ Cost Price]]</f>
        <v>75.826074771293179</v>
      </c>
    </row>
    <row r="243" spans="1:8" x14ac:dyDescent="0.25">
      <c r="A243" s="2">
        <v>44768</v>
      </c>
      <c r="B243" t="s">
        <v>13</v>
      </c>
      <c r="C243" t="s">
        <v>19</v>
      </c>
      <c r="D243" t="s">
        <v>20</v>
      </c>
      <c r="E243" t="s">
        <v>252</v>
      </c>
      <c r="F243" s="1">
        <v>196.04867580341403</v>
      </c>
      <c r="G243" s="1">
        <v>319.72538654870084</v>
      </c>
      <c r="H243" s="1">
        <f>Table1[[#This Row],[Sales]]-Table1[[#This Row],[ Cost Price]]</f>
        <v>123.67671074528681</v>
      </c>
    </row>
    <row r="244" spans="1:8" x14ac:dyDescent="0.25">
      <c r="A244" s="2">
        <v>44404</v>
      </c>
      <c r="B244" t="s">
        <v>18</v>
      </c>
      <c r="C244" t="s">
        <v>23</v>
      </c>
      <c r="D244" t="s">
        <v>96</v>
      </c>
      <c r="E244" t="s">
        <v>253</v>
      </c>
      <c r="F244" s="1">
        <v>46.741174309479071</v>
      </c>
      <c r="G244" s="1">
        <v>239.69543921524874</v>
      </c>
      <c r="H244" s="1">
        <f>Table1[[#This Row],[Sales]]-Table1[[#This Row],[ Cost Price]]</f>
        <v>192.95426490576966</v>
      </c>
    </row>
    <row r="245" spans="1:8" x14ac:dyDescent="0.25">
      <c r="A245" s="2">
        <v>44405</v>
      </c>
      <c r="B245" t="s">
        <v>26</v>
      </c>
      <c r="C245" t="s">
        <v>10</v>
      </c>
      <c r="D245" t="s">
        <v>98</v>
      </c>
      <c r="E245" t="s">
        <v>254</v>
      </c>
      <c r="F245" s="1">
        <v>86.724196540953713</v>
      </c>
      <c r="G245" s="1">
        <v>140.59002361274111</v>
      </c>
      <c r="H245" s="1">
        <f>Table1[[#This Row],[Sales]]-Table1[[#This Row],[ Cost Price]]</f>
        <v>53.865827071787393</v>
      </c>
    </row>
    <row r="246" spans="1:8" x14ac:dyDescent="0.25">
      <c r="A246" s="2">
        <v>44771</v>
      </c>
      <c r="B246" t="s">
        <v>18</v>
      </c>
      <c r="C246" t="s">
        <v>14</v>
      </c>
      <c r="D246" t="s">
        <v>100</v>
      </c>
      <c r="E246" t="s">
        <v>255</v>
      </c>
      <c r="F246" s="1">
        <v>299.65513994474333</v>
      </c>
      <c r="G246" s="1">
        <v>331.65360438834875</v>
      </c>
      <c r="H246" s="1">
        <f>Table1[[#This Row],[Sales]]-Table1[[#This Row],[ Cost Price]]</f>
        <v>31.998464443605428</v>
      </c>
    </row>
    <row r="247" spans="1:8" x14ac:dyDescent="0.25">
      <c r="A247" s="2">
        <v>44407</v>
      </c>
      <c r="B247" t="s">
        <v>18</v>
      </c>
      <c r="C247" t="s">
        <v>19</v>
      </c>
      <c r="D247" t="s">
        <v>41</v>
      </c>
      <c r="E247" t="s">
        <v>256</v>
      </c>
      <c r="F247" s="1">
        <v>535.30395707058437</v>
      </c>
      <c r="G247" s="1">
        <v>616.40721293757201</v>
      </c>
      <c r="H247" s="1">
        <f>Table1[[#This Row],[Sales]]-Table1[[#This Row],[ Cost Price]]</f>
        <v>81.103255866987638</v>
      </c>
    </row>
    <row r="248" spans="1:8" x14ac:dyDescent="0.25">
      <c r="A248" s="2">
        <v>44773</v>
      </c>
      <c r="B248" t="s">
        <v>18</v>
      </c>
      <c r="C248" t="s">
        <v>27</v>
      </c>
      <c r="D248" t="s">
        <v>43</v>
      </c>
      <c r="E248" t="s">
        <v>257</v>
      </c>
      <c r="F248" s="1">
        <v>332.32380475078082</v>
      </c>
      <c r="G248" s="1">
        <v>383.56081667820888</v>
      </c>
      <c r="H248" s="1">
        <f>Table1[[#This Row],[Sales]]-Table1[[#This Row],[ Cost Price]]</f>
        <v>51.237011927428057</v>
      </c>
    </row>
    <row r="249" spans="1:8" x14ac:dyDescent="0.25">
      <c r="A249" s="2">
        <v>44409</v>
      </c>
      <c r="B249" t="s">
        <v>18</v>
      </c>
      <c r="C249" t="s">
        <v>31</v>
      </c>
      <c r="D249" t="s">
        <v>51</v>
      </c>
      <c r="E249" t="s">
        <v>258</v>
      </c>
      <c r="F249" s="1">
        <v>16.142200726046539</v>
      </c>
      <c r="G249" s="1">
        <v>94.14288475995356</v>
      </c>
      <c r="H249" s="1">
        <f>Table1[[#This Row],[Sales]]-Table1[[#This Row],[ Cost Price]]</f>
        <v>78.000684033907021</v>
      </c>
    </row>
    <row r="250" spans="1:8" x14ac:dyDescent="0.25">
      <c r="A250" s="2">
        <v>44410</v>
      </c>
      <c r="B250" t="s">
        <v>26</v>
      </c>
      <c r="C250" t="s">
        <v>23</v>
      </c>
      <c r="D250" t="s">
        <v>53</v>
      </c>
      <c r="E250" t="s">
        <v>259</v>
      </c>
      <c r="F250" s="1">
        <v>293.36712111143345</v>
      </c>
      <c r="G250" s="1">
        <v>531.27325224389006</v>
      </c>
      <c r="H250" s="1">
        <f>Table1[[#This Row],[Sales]]-Table1[[#This Row],[ Cost Price]]</f>
        <v>237.90613113245661</v>
      </c>
    </row>
    <row r="251" spans="1:8" x14ac:dyDescent="0.25">
      <c r="A251" s="2">
        <v>44776</v>
      </c>
      <c r="B251" t="s">
        <v>30</v>
      </c>
      <c r="C251" t="s">
        <v>23</v>
      </c>
      <c r="D251" t="s">
        <v>45</v>
      </c>
      <c r="E251" t="s">
        <v>260</v>
      </c>
      <c r="F251" s="1">
        <v>56.268402276734029</v>
      </c>
      <c r="G251" s="1">
        <v>253.34892072742846</v>
      </c>
      <c r="H251" s="1">
        <f>Table1[[#This Row],[Sales]]-Table1[[#This Row],[ Cost Price]]</f>
        <v>197.08051845069443</v>
      </c>
    </row>
    <row r="252" spans="1:8" x14ac:dyDescent="0.25">
      <c r="A252" s="2">
        <v>44412</v>
      </c>
      <c r="B252" t="s">
        <v>9</v>
      </c>
      <c r="C252" t="s">
        <v>23</v>
      </c>
      <c r="D252" t="s">
        <v>56</v>
      </c>
      <c r="E252" t="s">
        <v>261</v>
      </c>
      <c r="F252" s="1">
        <v>242.54608175460152</v>
      </c>
      <c r="G252" s="1">
        <v>251.12801857344991</v>
      </c>
      <c r="H252" s="1">
        <f>Table1[[#This Row],[Sales]]-Table1[[#This Row],[ Cost Price]]</f>
        <v>8.5819368188483907</v>
      </c>
    </row>
    <row r="253" spans="1:8" x14ac:dyDescent="0.25">
      <c r="A253" s="2">
        <v>44413</v>
      </c>
      <c r="B253" t="s">
        <v>9</v>
      </c>
      <c r="C253" t="s">
        <v>10</v>
      </c>
      <c r="D253" t="s">
        <v>11</v>
      </c>
      <c r="E253" t="s">
        <v>262</v>
      </c>
      <c r="F253" s="1">
        <v>818.93122706823988</v>
      </c>
      <c r="G253" s="1">
        <v>971.74291005617965</v>
      </c>
      <c r="H253" s="1">
        <f>Table1[[#This Row],[Sales]]-Table1[[#This Row],[ Cost Price]]</f>
        <v>152.81168298793978</v>
      </c>
    </row>
    <row r="254" spans="1:8" x14ac:dyDescent="0.25">
      <c r="A254" s="2">
        <v>44779</v>
      </c>
      <c r="B254" t="s">
        <v>9</v>
      </c>
      <c r="C254" t="s">
        <v>14</v>
      </c>
      <c r="D254" t="s">
        <v>15</v>
      </c>
      <c r="E254" t="s">
        <v>263</v>
      </c>
      <c r="F254" s="1">
        <v>828.80320029081759</v>
      </c>
      <c r="G254" s="1">
        <v>1091.9181223054836</v>
      </c>
      <c r="H254" s="1">
        <f>Table1[[#This Row],[Sales]]-Table1[[#This Row],[ Cost Price]]</f>
        <v>263.11492201466604</v>
      </c>
    </row>
    <row r="255" spans="1:8" x14ac:dyDescent="0.25">
      <c r="A255" s="2">
        <v>44415</v>
      </c>
      <c r="B255" t="s">
        <v>9</v>
      </c>
      <c r="C255" t="s">
        <v>19</v>
      </c>
      <c r="D255" t="s">
        <v>53</v>
      </c>
      <c r="E255" t="s">
        <v>264</v>
      </c>
      <c r="F255" s="1">
        <v>490.47730477231335</v>
      </c>
      <c r="G255" s="1">
        <v>652.23796377656731</v>
      </c>
      <c r="H255" s="1">
        <f>Table1[[#This Row],[Sales]]-Table1[[#This Row],[ Cost Price]]</f>
        <v>161.76065900425397</v>
      </c>
    </row>
    <row r="256" spans="1:8" x14ac:dyDescent="0.25">
      <c r="A256" s="2">
        <v>44416</v>
      </c>
      <c r="B256" t="s">
        <v>9</v>
      </c>
      <c r="C256" t="s">
        <v>27</v>
      </c>
      <c r="D256" t="s">
        <v>45</v>
      </c>
      <c r="E256" t="s">
        <v>265</v>
      </c>
      <c r="F256" s="1">
        <v>34.604059599882646</v>
      </c>
      <c r="G256" s="1">
        <v>61.469281433969599</v>
      </c>
      <c r="H256" s="1">
        <f>Table1[[#This Row],[Sales]]-Table1[[#This Row],[ Cost Price]]</f>
        <v>26.865221834086952</v>
      </c>
    </row>
    <row r="257" spans="1:8" x14ac:dyDescent="0.25">
      <c r="A257" s="2">
        <v>44417</v>
      </c>
      <c r="B257" t="s">
        <v>9</v>
      </c>
      <c r="C257" t="s">
        <v>31</v>
      </c>
      <c r="D257" t="s">
        <v>56</v>
      </c>
      <c r="E257" t="s">
        <v>266</v>
      </c>
      <c r="F257" s="1">
        <v>550.39137418824475</v>
      </c>
      <c r="G257" s="1">
        <v>658.24978528239865</v>
      </c>
      <c r="H257" s="1">
        <f>Table1[[#This Row],[Sales]]-Table1[[#This Row],[ Cost Price]]</f>
        <v>107.85841109415389</v>
      </c>
    </row>
    <row r="258" spans="1:8" x14ac:dyDescent="0.25">
      <c r="A258" s="2">
        <v>44783</v>
      </c>
      <c r="B258" t="s">
        <v>13</v>
      </c>
      <c r="C258" t="s">
        <v>35</v>
      </c>
      <c r="D258" t="s">
        <v>11</v>
      </c>
      <c r="E258" t="s">
        <v>267</v>
      </c>
      <c r="F258" s="1">
        <v>166.9301151740294</v>
      </c>
      <c r="G258" s="1">
        <v>345.85967225932188</v>
      </c>
      <c r="H258" s="1">
        <f>Table1[[#This Row],[Sales]]-Table1[[#This Row],[ Cost Price]]</f>
        <v>178.92955708529249</v>
      </c>
    </row>
    <row r="259" spans="1:8" x14ac:dyDescent="0.25">
      <c r="A259" s="2">
        <v>44419</v>
      </c>
      <c r="B259" t="s">
        <v>18</v>
      </c>
      <c r="C259" t="s">
        <v>40</v>
      </c>
      <c r="D259" t="s">
        <v>15</v>
      </c>
      <c r="E259" t="s">
        <v>268</v>
      </c>
      <c r="F259" s="1">
        <v>699.88148298491933</v>
      </c>
      <c r="G259" s="1">
        <v>824.45568443007119</v>
      </c>
      <c r="H259" s="1">
        <f>Table1[[#This Row],[Sales]]-Table1[[#This Row],[ Cost Price]]</f>
        <v>124.57420144515186</v>
      </c>
    </row>
    <row r="260" spans="1:8" x14ac:dyDescent="0.25">
      <c r="A260" s="2">
        <v>44785</v>
      </c>
      <c r="B260" t="s">
        <v>26</v>
      </c>
      <c r="C260" t="s">
        <v>23</v>
      </c>
      <c r="D260" t="s">
        <v>53</v>
      </c>
      <c r="E260" t="s">
        <v>269</v>
      </c>
      <c r="F260" s="1">
        <v>663.46431041323103</v>
      </c>
      <c r="G260" s="1">
        <v>802.38798374031126</v>
      </c>
      <c r="H260" s="1">
        <f>Table1[[#This Row],[Sales]]-Table1[[#This Row],[ Cost Price]]</f>
        <v>138.92367332708022</v>
      </c>
    </row>
    <row r="261" spans="1:8" x14ac:dyDescent="0.25">
      <c r="A261" s="2">
        <v>44421</v>
      </c>
      <c r="B261" t="s">
        <v>30</v>
      </c>
      <c r="C261" t="s">
        <v>10</v>
      </c>
      <c r="D261" t="s">
        <v>45</v>
      </c>
      <c r="E261" t="s">
        <v>270</v>
      </c>
      <c r="F261" s="1">
        <v>990.72338181956206</v>
      </c>
      <c r="G261" s="1">
        <v>1039.6193695522661</v>
      </c>
      <c r="H261" s="1">
        <f>Table1[[#This Row],[Sales]]-Table1[[#This Row],[ Cost Price]]</f>
        <v>48.895987732704043</v>
      </c>
    </row>
    <row r="262" spans="1:8" x14ac:dyDescent="0.25">
      <c r="A262" s="2">
        <v>44787</v>
      </c>
      <c r="B262" t="s">
        <v>18</v>
      </c>
      <c r="C262" t="s">
        <v>10</v>
      </c>
      <c r="D262" t="s">
        <v>56</v>
      </c>
      <c r="E262" t="s">
        <v>271</v>
      </c>
      <c r="F262" s="1">
        <v>459.88562854977351</v>
      </c>
      <c r="G262" s="1">
        <v>570.51602341904231</v>
      </c>
      <c r="H262" s="1">
        <f>Table1[[#This Row],[Sales]]-Table1[[#This Row],[ Cost Price]]</f>
        <v>110.6303948692688</v>
      </c>
    </row>
    <row r="263" spans="1:8" x14ac:dyDescent="0.25">
      <c r="A263" s="2">
        <v>44423</v>
      </c>
      <c r="B263" t="s">
        <v>18</v>
      </c>
      <c r="C263" t="s">
        <v>10</v>
      </c>
      <c r="D263" t="s">
        <v>11</v>
      </c>
      <c r="E263" t="s">
        <v>272</v>
      </c>
      <c r="F263" s="1">
        <v>259.23491041119235</v>
      </c>
      <c r="G263" s="1">
        <v>333.33703167695904</v>
      </c>
      <c r="H263" s="1">
        <f>Table1[[#This Row],[Sales]]-Table1[[#This Row],[ Cost Price]]</f>
        <v>74.102121265766698</v>
      </c>
    </row>
    <row r="264" spans="1:8" x14ac:dyDescent="0.25">
      <c r="A264" s="2">
        <v>44789</v>
      </c>
      <c r="B264" t="s">
        <v>18</v>
      </c>
      <c r="C264" t="s">
        <v>10</v>
      </c>
      <c r="D264" t="s">
        <v>15</v>
      </c>
      <c r="E264" t="s">
        <v>273</v>
      </c>
      <c r="F264" s="1">
        <v>203.92469316366783</v>
      </c>
      <c r="G264" s="1">
        <v>387.56313321642938</v>
      </c>
      <c r="H264" s="1">
        <f>Table1[[#This Row],[Sales]]-Table1[[#This Row],[ Cost Price]]</f>
        <v>183.63844005276155</v>
      </c>
    </row>
    <row r="265" spans="1:8" x14ac:dyDescent="0.25">
      <c r="A265" s="2">
        <v>44425</v>
      </c>
      <c r="B265" t="s">
        <v>26</v>
      </c>
      <c r="C265" t="s">
        <v>10</v>
      </c>
      <c r="D265" t="s">
        <v>53</v>
      </c>
      <c r="E265" t="s">
        <v>274</v>
      </c>
      <c r="F265" s="1">
        <v>812.30283246125578</v>
      </c>
      <c r="G265" s="1">
        <v>1003.0157741275755</v>
      </c>
      <c r="H265" s="1">
        <f>Table1[[#This Row],[Sales]]-Table1[[#This Row],[ Cost Price]]</f>
        <v>190.71294166631969</v>
      </c>
    </row>
    <row r="266" spans="1:8" x14ac:dyDescent="0.25">
      <c r="A266" s="2">
        <v>44426</v>
      </c>
      <c r="B266" t="s">
        <v>30</v>
      </c>
      <c r="C266" t="s">
        <v>35</v>
      </c>
      <c r="D266" t="s">
        <v>45</v>
      </c>
      <c r="E266" t="s">
        <v>275</v>
      </c>
      <c r="F266" s="1">
        <v>345.29691176784542</v>
      </c>
      <c r="G266" s="1">
        <v>486.00042734332857</v>
      </c>
      <c r="H266" s="1">
        <f>Table1[[#This Row],[Sales]]-Table1[[#This Row],[ Cost Price]]</f>
        <v>140.70351557548315</v>
      </c>
    </row>
    <row r="267" spans="1:8" x14ac:dyDescent="0.25">
      <c r="A267" s="2">
        <v>44792</v>
      </c>
      <c r="B267" t="s">
        <v>9</v>
      </c>
      <c r="C267" t="s">
        <v>40</v>
      </c>
      <c r="D267" t="s">
        <v>56</v>
      </c>
      <c r="E267" t="s">
        <v>276</v>
      </c>
      <c r="F267" s="1">
        <v>580.59133363826277</v>
      </c>
      <c r="G267" s="1">
        <v>593.1862495861626</v>
      </c>
      <c r="H267" s="1">
        <f>Table1[[#This Row],[Sales]]-Table1[[#This Row],[ Cost Price]]</f>
        <v>12.594915947899835</v>
      </c>
    </row>
    <row r="268" spans="1:8" x14ac:dyDescent="0.25">
      <c r="A268" s="2">
        <v>44428</v>
      </c>
      <c r="B268" t="s">
        <v>30</v>
      </c>
      <c r="C268" t="s">
        <v>23</v>
      </c>
      <c r="D268" t="s">
        <v>11</v>
      </c>
      <c r="E268" t="s">
        <v>277</v>
      </c>
      <c r="F268" s="1">
        <v>69.830542663439942</v>
      </c>
      <c r="G268" s="1">
        <v>150.69867071296403</v>
      </c>
      <c r="H268" s="1">
        <f>Table1[[#This Row],[Sales]]-Table1[[#This Row],[ Cost Price]]</f>
        <v>80.868128049524088</v>
      </c>
    </row>
    <row r="269" spans="1:8" x14ac:dyDescent="0.25">
      <c r="A269" s="2">
        <v>44429</v>
      </c>
      <c r="B269" t="s">
        <v>30</v>
      </c>
      <c r="C269" t="s">
        <v>10</v>
      </c>
      <c r="D269" t="s">
        <v>15</v>
      </c>
      <c r="E269" t="s">
        <v>278</v>
      </c>
      <c r="F269" s="1">
        <v>611.91090121411503</v>
      </c>
      <c r="G269" s="1">
        <v>810.25071538655379</v>
      </c>
      <c r="H269" s="1">
        <f>Table1[[#This Row],[Sales]]-Table1[[#This Row],[ Cost Price]]</f>
        <v>198.33981417243876</v>
      </c>
    </row>
    <row r="270" spans="1:8" x14ac:dyDescent="0.25">
      <c r="A270" s="2">
        <v>44795</v>
      </c>
      <c r="B270" t="s">
        <v>30</v>
      </c>
      <c r="C270" t="s">
        <v>14</v>
      </c>
      <c r="D270" t="s">
        <v>53</v>
      </c>
      <c r="E270" t="s">
        <v>279</v>
      </c>
      <c r="F270" s="1">
        <v>528.22344618080911</v>
      </c>
      <c r="G270" s="1">
        <v>667.60029777416162</v>
      </c>
      <c r="H270" s="1">
        <f>Table1[[#This Row],[Sales]]-Table1[[#This Row],[ Cost Price]]</f>
        <v>139.37685159335251</v>
      </c>
    </row>
    <row r="271" spans="1:8" x14ac:dyDescent="0.25">
      <c r="A271" s="2">
        <v>44431</v>
      </c>
      <c r="B271" t="s">
        <v>30</v>
      </c>
      <c r="C271" t="s">
        <v>19</v>
      </c>
      <c r="D271" t="s">
        <v>45</v>
      </c>
      <c r="E271" t="s">
        <v>280</v>
      </c>
      <c r="F271" s="1">
        <v>857.55910070471134</v>
      </c>
      <c r="G271" s="1">
        <v>1131.91191295008</v>
      </c>
      <c r="H271" s="1">
        <f>Table1[[#This Row],[Sales]]-Table1[[#This Row],[ Cost Price]]</f>
        <v>274.35281224536868</v>
      </c>
    </row>
    <row r="272" spans="1:8" x14ac:dyDescent="0.25">
      <c r="A272" s="2">
        <v>44797</v>
      </c>
      <c r="B272" t="s">
        <v>9</v>
      </c>
      <c r="C272" t="s">
        <v>27</v>
      </c>
      <c r="D272" t="s">
        <v>56</v>
      </c>
      <c r="E272" t="s">
        <v>281</v>
      </c>
      <c r="F272" s="1">
        <v>452.53011004397661</v>
      </c>
      <c r="G272" s="1">
        <v>644.29490452756272</v>
      </c>
      <c r="H272" s="1">
        <f>Table1[[#This Row],[Sales]]-Table1[[#This Row],[ Cost Price]]</f>
        <v>191.76479448358612</v>
      </c>
    </row>
    <row r="273" spans="1:8" x14ac:dyDescent="0.25">
      <c r="A273" s="2">
        <v>44433</v>
      </c>
      <c r="B273" t="s">
        <v>13</v>
      </c>
      <c r="C273" t="s">
        <v>40</v>
      </c>
      <c r="D273" t="s">
        <v>11</v>
      </c>
      <c r="E273" t="s">
        <v>282</v>
      </c>
      <c r="F273" s="1">
        <v>51.228596140674384</v>
      </c>
      <c r="G273" s="1">
        <v>56.045310367510389</v>
      </c>
      <c r="H273" s="1">
        <f>Table1[[#This Row],[Sales]]-Table1[[#This Row],[ Cost Price]]</f>
        <v>4.8167142268360053</v>
      </c>
    </row>
    <row r="274" spans="1:8" x14ac:dyDescent="0.25">
      <c r="A274" s="2">
        <v>44799</v>
      </c>
      <c r="B274" t="s">
        <v>18</v>
      </c>
      <c r="C274" t="s">
        <v>40</v>
      </c>
      <c r="D274" t="s">
        <v>15</v>
      </c>
      <c r="E274" t="s">
        <v>283</v>
      </c>
      <c r="F274" s="1">
        <v>336.69419715870316</v>
      </c>
      <c r="G274" s="1">
        <v>397.85935475600775</v>
      </c>
      <c r="H274" s="1">
        <f>Table1[[#This Row],[Sales]]-Table1[[#This Row],[ Cost Price]]</f>
        <v>61.165157597304585</v>
      </c>
    </row>
    <row r="275" spans="1:8" x14ac:dyDescent="0.25">
      <c r="A275" s="2">
        <v>44435</v>
      </c>
      <c r="B275" t="s">
        <v>26</v>
      </c>
      <c r="C275" t="s">
        <v>40</v>
      </c>
      <c r="D275" t="s">
        <v>53</v>
      </c>
      <c r="E275" t="s">
        <v>284</v>
      </c>
      <c r="F275" s="1">
        <v>131.10082839002243</v>
      </c>
      <c r="G275" s="1">
        <v>359.35834766494025</v>
      </c>
      <c r="H275" s="1">
        <f>Table1[[#This Row],[Sales]]-Table1[[#This Row],[ Cost Price]]</f>
        <v>228.25751927491783</v>
      </c>
    </row>
    <row r="276" spans="1:8" x14ac:dyDescent="0.25">
      <c r="A276" s="2">
        <v>44435</v>
      </c>
      <c r="B276" t="s">
        <v>26</v>
      </c>
      <c r="C276" t="s">
        <v>31</v>
      </c>
      <c r="D276" t="s">
        <v>11</v>
      </c>
      <c r="E276" t="s">
        <v>285</v>
      </c>
      <c r="F276" s="1">
        <v>792.00290650369527</v>
      </c>
      <c r="G276" s="1">
        <v>857.02340321112649</v>
      </c>
      <c r="H276" s="1">
        <f>Table1[[#This Row],[Sales]]-Table1[[#This Row],[ Cost Price]]</f>
        <v>65.020496707431221</v>
      </c>
    </row>
    <row r="277" spans="1:8" x14ac:dyDescent="0.25">
      <c r="A277" s="2">
        <v>44800</v>
      </c>
      <c r="B277" t="s">
        <v>26</v>
      </c>
      <c r="C277" t="s">
        <v>35</v>
      </c>
      <c r="D277" t="s">
        <v>15</v>
      </c>
      <c r="E277" t="s">
        <v>286</v>
      </c>
      <c r="F277" s="1">
        <v>1176.4708261084513</v>
      </c>
      <c r="G277" s="1">
        <v>1276.1686197623276</v>
      </c>
      <c r="H277" s="1">
        <f>Table1[[#This Row],[Sales]]-Table1[[#This Row],[ Cost Price]]</f>
        <v>99.697793653876261</v>
      </c>
    </row>
    <row r="278" spans="1:8" x14ac:dyDescent="0.25">
      <c r="A278" s="2">
        <v>44435</v>
      </c>
      <c r="B278" t="s">
        <v>30</v>
      </c>
      <c r="C278" t="s">
        <v>40</v>
      </c>
      <c r="D278" t="s">
        <v>20</v>
      </c>
      <c r="E278" t="s">
        <v>287</v>
      </c>
      <c r="F278" s="1">
        <v>977.56395054505401</v>
      </c>
      <c r="G278" s="1">
        <v>1175.9361645723272</v>
      </c>
      <c r="H278" s="1">
        <f>Table1[[#This Row],[Sales]]-Table1[[#This Row],[ Cost Price]]</f>
        <v>198.37221402727323</v>
      </c>
    </row>
    <row r="279" spans="1:8" x14ac:dyDescent="0.25">
      <c r="A279" s="2">
        <v>44800</v>
      </c>
      <c r="B279" t="s">
        <v>9</v>
      </c>
      <c r="C279" t="s">
        <v>23</v>
      </c>
      <c r="D279" t="s">
        <v>28</v>
      </c>
      <c r="E279" t="s">
        <v>288</v>
      </c>
      <c r="F279" s="1">
        <v>263.63200666083924</v>
      </c>
      <c r="G279" s="1">
        <v>442.20854994814806</v>
      </c>
      <c r="H279" s="1">
        <f>Table1[[#This Row],[Sales]]-Table1[[#This Row],[ Cost Price]]</f>
        <v>178.57654328730882</v>
      </c>
    </row>
    <row r="280" spans="1:8" x14ac:dyDescent="0.25">
      <c r="A280" s="2">
        <v>44435</v>
      </c>
      <c r="B280" t="s">
        <v>13</v>
      </c>
      <c r="C280" t="s">
        <v>10</v>
      </c>
      <c r="D280" t="s">
        <v>32</v>
      </c>
      <c r="E280" t="s">
        <v>289</v>
      </c>
      <c r="F280" s="1">
        <v>995.81775056158745</v>
      </c>
      <c r="G280" s="1">
        <v>1143.5632915677256</v>
      </c>
      <c r="H280" s="1">
        <f>Table1[[#This Row],[Sales]]-Table1[[#This Row],[ Cost Price]]</f>
        <v>147.74554100613818</v>
      </c>
    </row>
    <row r="281" spans="1:8" x14ac:dyDescent="0.25">
      <c r="A281" s="2">
        <v>44436</v>
      </c>
      <c r="B281" t="s">
        <v>26</v>
      </c>
      <c r="C281" t="s">
        <v>23</v>
      </c>
      <c r="D281" t="s">
        <v>45</v>
      </c>
      <c r="E281" t="s">
        <v>290</v>
      </c>
      <c r="F281" s="1">
        <v>772.38991803836939</v>
      </c>
      <c r="G281" s="1">
        <v>817.71996240546434</v>
      </c>
      <c r="H281" s="1">
        <f>Table1[[#This Row],[Sales]]-Table1[[#This Row],[ Cost Price]]</f>
        <v>45.330044367094956</v>
      </c>
    </row>
    <row r="282" spans="1:8" x14ac:dyDescent="0.25">
      <c r="A282" s="2">
        <v>44802</v>
      </c>
      <c r="B282" t="s">
        <v>26</v>
      </c>
      <c r="C282" t="s">
        <v>10</v>
      </c>
      <c r="D282" t="s">
        <v>56</v>
      </c>
      <c r="E282" t="s">
        <v>291</v>
      </c>
      <c r="F282" s="1">
        <v>189.57267739570659</v>
      </c>
      <c r="G282" s="1">
        <v>319.03179261502362</v>
      </c>
      <c r="H282" s="1">
        <f>Table1[[#This Row],[Sales]]-Table1[[#This Row],[ Cost Price]]</f>
        <v>129.45911521931703</v>
      </c>
    </row>
    <row r="283" spans="1:8" x14ac:dyDescent="0.25">
      <c r="A283" s="2">
        <v>44438</v>
      </c>
      <c r="B283" t="s">
        <v>26</v>
      </c>
      <c r="C283" t="s">
        <v>14</v>
      </c>
      <c r="D283" t="s">
        <v>11</v>
      </c>
      <c r="E283" t="s">
        <v>292</v>
      </c>
      <c r="F283" s="1">
        <v>127.75142666307856</v>
      </c>
      <c r="G283" s="1">
        <v>300.48279025789901</v>
      </c>
      <c r="H283" s="1">
        <f>Table1[[#This Row],[Sales]]-Table1[[#This Row],[ Cost Price]]</f>
        <v>172.73136359482044</v>
      </c>
    </row>
    <row r="284" spans="1:8" x14ac:dyDescent="0.25">
      <c r="A284" s="2">
        <v>44439</v>
      </c>
      <c r="B284" t="s">
        <v>26</v>
      </c>
      <c r="C284" t="s">
        <v>19</v>
      </c>
      <c r="D284" t="s">
        <v>15</v>
      </c>
      <c r="E284" t="s">
        <v>293</v>
      </c>
      <c r="F284" s="1">
        <v>495.77021883403984</v>
      </c>
      <c r="G284" s="1">
        <v>696.38150927239064</v>
      </c>
      <c r="H284" s="1">
        <f>Table1[[#This Row],[Sales]]-Table1[[#This Row],[ Cost Price]]</f>
        <v>200.61129043835081</v>
      </c>
    </row>
    <row r="285" spans="1:8" x14ac:dyDescent="0.25">
      <c r="A285" s="2">
        <v>44440</v>
      </c>
      <c r="B285" t="s">
        <v>26</v>
      </c>
      <c r="C285" t="s">
        <v>27</v>
      </c>
      <c r="D285" t="s">
        <v>53</v>
      </c>
      <c r="E285" t="s">
        <v>294</v>
      </c>
      <c r="F285" s="1">
        <v>710.00912411546892</v>
      </c>
      <c r="G285" s="1">
        <v>744.84375995894391</v>
      </c>
      <c r="H285" s="1">
        <f>Table1[[#This Row],[Sales]]-Table1[[#This Row],[ Cost Price]]</f>
        <v>34.834635843474985</v>
      </c>
    </row>
    <row r="286" spans="1:8" x14ac:dyDescent="0.25">
      <c r="A286" s="2">
        <v>44806</v>
      </c>
      <c r="B286" t="s">
        <v>30</v>
      </c>
      <c r="C286" t="s">
        <v>27</v>
      </c>
      <c r="D286" t="s">
        <v>45</v>
      </c>
      <c r="E286" t="s">
        <v>295</v>
      </c>
      <c r="F286" s="1">
        <v>653.95484904183922</v>
      </c>
      <c r="G286" s="1">
        <v>828.67628153025589</v>
      </c>
      <c r="H286" s="1">
        <f>Table1[[#This Row],[Sales]]-Table1[[#This Row],[ Cost Price]]</f>
        <v>174.72143248841667</v>
      </c>
    </row>
    <row r="287" spans="1:8" x14ac:dyDescent="0.25">
      <c r="A287" s="2">
        <v>44442</v>
      </c>
      <c r="B287" t="s">
        <v>9</v>
      </c>
      <c r="C287" t="s">
        <v>27</v>
      </c>
      <c r="D287" t="s">
        <v>36</v>
      </c>
      <c r="E287" t="s">
        <v>296</v>
      </c>
      <c r="F287" s="1">
        <v>980.04830476830375</v>
      </c>
      <c r="G287" s="1">
        <v>1005.734909770734</v>
      </c>
      <c r="H287" s="1">
        <f>Table1[[#This Row],[Sales]]-Table1[[#This Row],[ Cost Price]]</f>
        <v>25.686605002430269</v>
      </c>
    </row>
    <row r="288" spans="1:8" x14ac:dyDescent="0.25">
      <c r="A288" s="2">
        <v>44808</v>
      </c>
      <c r="B288" t="s">
        <v>13</v>
      </c>
      <c r="C288" t="s">
        <v>40</v>
      </c>
      <c r="D288" t="s">
        <v>41</v>
      </c>
      <c r="E288" t="s">
        <v>297</v>
      </c>
      <c r="F288" s="1">
        <v>383.97821256690042</v>
      </c>
      <c r="G288" s="1">
        <v>592.46886505639031</v>
      </c>
      <c r="H288" s="1">
        <f>Table1[[#This Row],[Sales]]-Table1[[#This Row],[ Cost Price]]</f>
        <v>208.49065248948989</v>
      </c>
    </row>
    <row r="289" spans="1:8" x14ac:dyDescent="0.25">
      <c r="A289" s="2">
        <v>44444</v>
      </c>
      <c r="B289" t="s">
        <v>18</v>
      </c>
      <c r="C289" t="s">
        <v>23</v>
      </c>
      <c r="D289" t="s">
        <v>43</v>
      </c>
      <c r="E289" t="s">
        <v>298</v>
      </c>
      <c r="F289" s="1">
        <v>446.75947087638463</v>
      </c>
      <c r="G289" s="1">
        <v>465.21279412304773</v>
      </c>
      <c r="H289" s="1">
        <f>Table1[[#This Row],[Sales]]-Table1[[#This Row],[ Cost Price]]</f>
        <v>18.453323246663103</v>
      </c>
    </row>
    <row r="290" spans="1:8" x14ac:dyDescent="0.25">
      <c r="A290" s="2">
        <v>44445</v>
      </c>
      <c r="B290" t="s">
        <v>26</v>
      </c>
      <c r="C290" t="s">
        <v>10</v>
      </c>
      <c r="D290" t="s">
        <v>51</v>
      </c>
      <c r="E290" t="s">
        <v>299</v>
      </c>
      <c r="F290" s="1">
        <v>409.52328216240937</v>
      </c>
      <c r="G290" s="1">
        <v>459.83654814653761</v>
      </c>
      <c r="H290" s="1">
        <f>Table1[[#This Row],[Sales]]-Table1[[#This Row],[ Cost Price]]</f>
        <v>50.313265984128236</v>
      </c>
    </row>
    <row r="291" spans="1:8" x14ac:dyDescent="0.25">
      <c r="A291" s="2">
        <v>44811</v>
      </c>
      <c r="B291" t="s">
        <v>26</v>
      </c>
      <c r="C291" t="s">
        <v>14</v>
      </c>
      <c r="D291" t="s">
        <v>53</v>
      </c>
      <c r="E291" t="s">
        <v>300</v>
      </c>
      <c r="F291" s="1">
        <v>1.9857889711585437</v>
      </c>
      <c r="G291" s="1">
        <v>165.04668780627654</v>
      </c>
      <c r="H291" s="1">
        <f>Table1[[#This Row],[Sales]]-Table1[[#This Row],[ Cost Price]]</f>
        <v>163.060898835118</v>
      </c>
    </row>
    <row r="292" spans="1:8" x14ac:dyDescent="0.25">
      <c r="A292" s="2">
        <v>44812</v>
      </c>
      <c r="B292" t="s">
        <v>26</v>
      </c>
      <c r="C292" t="s">
        <v>19</v>
      </c>
      <c r="D292" t="s">
        <v>45</v>
      </c>
      <c r="E292" t="s">
        <v>301</v>
      </c>
      <c r="F292" s="1">
        <v>106.33855614292736</v>
      </c>
      <c r="G292" s="1">
        <v>281.43403556736587</v>
      </c>
      <c r="H292" s="1">
        <f>Table1[[#This Row],[Sales]]-Table1[[#This Row],[ Cost Price]]</f>
        <v>175.09547942443851</v>
      </c>
    </row>
    <row r="293" spans="1:8" x14ac:dyDescent="0.25">
      <c r="A293" s="2">
        <v>44448</v>
      </c>
      <c r="B293" t="s">
        <v>26</v>
      </c>
      <c r="C293" t="s">
        <v>27</v>
      </c>
      <c r="D293" t="s">
        <v>56</v>
      </c>
      <c r="E293" t="s">
        <v>302</v>
      </c>
      <c r="F293" s="1">
        <v>41.412574728194237</v>
      </c>
      <c r="G293" s="1">
        <v>182.50239481093584</v>
      </c>
      <c r="H293" s="1">
        <f>Table1[[#This Row],[Sales]]-Table1[[#This Row],[ Cost Price]]</f>
        <v>141.0898200827416</v>
      </c>
    </row>
    <row r="294" spans="1:8" x14ac:dyDescent="0.25">
      <c r="A294" s="2">
        <v>44814</v>
      </c>
      <c r="B294" t="s">
        <v>26</v>
      </c>
      <c r="C294" t="s">
        <v>31</v>
      </c>
      <c r="D294" t="s">
        <v>11</v>
      </c>
      <c r="E294" t="s">
        <v>285</v>
      </c>
      <c r="F294" s="1">
        <v>792.00290650369527</v>
      </c>
      <c r="G294" s="1">
        <v>857.02340321112649</v>
      </c>
      <c r="H294" s="1">
        <f>Table1[[#This Row],[Sales]]-Table1[[#This Row],[ Cost Price]]</f>
        <v>65.020496707431221</v>
      </c>
    </row>
    <row r="295" spans="1:8" x14ac:dyDescent="0.25">
      <c r="A295" s="2">
        <v>44450</v>
      </c>
      <c r="B295" t="s">
        <v>26</v>
      </c>
      <c r="C295" t="s">
        <v>35</v>
      </c>
      <c r="D295" t="s">
        <v>15</v>
      </c>
      <c r="E295" t="s">
        <v>286</v>
      </c>
      <c r="F295" s="1">
        <v>1176.4708261084513</v>
      </c>
      <c r="G295" s="1">
        <v>1276.1686197623276</v>
      </c>
      <c r="H295" s="1">
        <f>Table1[[#This Row],[Sales]]-Table1[[#This Row],[ Cost Price]]</f>
        <v>99.697793653876261</v>
      </c>
    </row>
    <row r="296" spans="1:8" x14ac:dyDescent="0.25">
      <c r="A296" s="2">
        <v>44451</v>
      </c>
      <c r="B296" t="s">
        <v>30</v>
      </c>
      <c r="C296" t="s">
        <v>40</v>
      </c>
      <c r="D296" t="s">
        <v>20</v>
      </c>
      <c r="E296" t="s">
        <v>287</v>
      </c>
      <c r="F296" s="1">
        <v>977.56395054505401</v>
      </c>
      <c r="G296" s="1">
        <v>1175.9361645723272</v>
      </c>
      <c r="H296" s="1">
        <f>Table1[[#This Row],[Sales]]-Table1[[#This Row],[ Cost Price]]</f>
        <v>198.37221402727323</v>
      </c>
    </row>
    <row r="297" spans="1:8" x14ac:dyDescent="0.25">
      <c r="A297" s="2">
        <v>44452</v>
      </c>
      <c r="B297" t="s">
        <v>9</v>
      </c>
      <c r="C297" t="s">
        <v>23</v>
      </c>
      <c r="D297" t="s">
        <v>28</v>
      </c>
      <c r="E297" t="s">
        <v>288</v>
      </c>
      <c r="F297" s="1">
        <v>263.63200666083924</v>
      </c>
      <c r="G297" s="1">
        <v>442.20854994814806</v>
      </c>
      <c r="H297" s="1">
        <f>Table1[[#This Row],[Sales]]-Table1[[#This Row],[ Cost Price]]</f>
        <v>178.57654328730882</v>
      </c>
    </row>
    <row r="298" spans="1:8" x14ac:dyDescent="0.25">
      <c r="A298" s="2">
        <v>44818</v>
      </c>
      <c r="B298" t="s">
        <v>13</v>
      </c>
      <c r="C298" t="s">
        <v>10</v>
      </c>
      <c r="D298" t="s">
        <v>32</v>
      </c>
      <c r="E298" t="s">
        <v>289</v>
      </c>
      <c r="F298" s="1">
        <v>995.81775056158745</v>
      </c>
      <c r="G298" s="1">
        <v>1143.5632915677256</v>
      </c>
      <c r="H298" s="1">
        <f>Table1[[#This Row],[Sales]]-Table1[[#This Row],[ Cost Price]]</f>
        <v>147.74554100613818</v>
      </c>
    </row>
    <row r="299" spans="1:8" x14ac:dyDescent="0.25">
      <c r="A299" s="2">
        <v>44454</v>
      </c>
      <c r="B299" t="s">
        <v>18</v>
      </c>
      <c r="C299" t="s">
        <v>14</v>
      </c>
      <c r="D299" t="s">
        <v>36</v>
      </c>
      <c r="E299" t="s">
        <v>303</v>
      </c>
      <c r="F299" s="1">
        <v>1071.9236238636795</v>
      </c>
      <c r="G299" s="1">
        <v>1305.7080441517523</v>
      </c>
      <c r="H299" s="1">
        <f>Table1[[#This Row],[Sales]]-Table1[[#This Row],[ Cost Price]]</f>
        <v>233.78442028807285</v>
      </c>
    </row>
    <row r="300" spans="1:8" x14ac:dyDescent="0.25">
      <c r="A300" s="2">
        <v>44455</v>
      </c>
      <c r="B300" t="s">
        <v>26</v>
      </c>
      <c r="C300" t="s">
        <v>19</v>
      </c>
      <c r="D300" t="s">
        <v>41</v>
      </c>
      <c r="E300" t="s">
        <v>304</v>
      </c>
      <c r="F300" s="1">
        <v>560.17298786862636</v>
      </c>
      <c r="G300" s="1">
        <v>648.0295273032707</v>
      </c>
      <c r="H300" s="1">
        <f>Table1[[#This Row],[Sales]]-Table1[[#This Row],[ Cost Price]]</f>
        <v>87.856539434644333</v>
      </c>
    </row>
    <row r="301" spans="1:8" x14ac:dyDescent="0.25">
      <c r="A301" s="2">
        <v>44456</v>
      </c>
      <c r="B301" t="s">
        <v>30</v>
      </c>
      <c r="C301" t="s">
        <v>27</v>
      </c>
      <c r="D301" t="s">
        <v>43</v>
      </c>
      <c r="E301" t="s">
        <v>305</v>
      </c>
      <c r="F301" s="1">
        <v>846.6859364438634</v>
      </c>
      <c r="G301" s="1">
        <v>908.22897769254814</v>
      </c>
      <c r="H301" s="1">
        <f>Table1[[#This Row],[Sales]]-Table1[[#This Row],[ Cost Price]]</f>
        <v>61.543041248684744</v>
      </c>
    </row>
    <row r="302" spans="1:8" x14ac:dyDescent="0.25">
      <c r="A302" s="2">
        <v>44822</v>
      </c>
      <c r="B302" t="s">
        <v>30</v>
      </c>
      <c r="C302" t="s">
        <v>40</v>
      </c>
      <c r="D302" t="s">
        <v>51</v>
      </c>
      <c r="E302" t="s">
        <v>306</v>
      </c>
      <c r="F302" s="1">
        <v>41.10179428411751</v>
      </c>
      <c r="G302" s="1">
        <v>217.7158402864151</v>
      </c>
      <c r="H302" s="1">
        <f>Table1[[#This Row],[Sales]]-Table1[[#This Row],[ Cost Price]]</f>
        <v>176.61404600229758</v>
      </c>
    </row>
    <row r="303" spans="1:8" x14ac:dyDescent="0.25">
      <c r="A303" s="2">
        <v>44458</v>
      </c>
      <c r="B303" t="s">
        <v>30</v>
      </c>
      <c r="C303" t="s">
        <v>40</v>
      </c>
      <c r="D303" t="s">
        <v>53</v>
      </c>
      <c r="E303" t="s">
        <v>307</v>
      </c>
      <c r="F303" s="1">
        <v>22.017659968285063</v>
      </c>
      <c r="G303" s="1">
        <v>125.92766668239219</v>
      </c>
      <c r="H303" s="1">
        <f>Table1[[#This Row],[Sales]]-Table1[[#This Row],[ Cost Price]]</f>
        <v>103.91000671410713</v>
      </c>
    </row>
    <row r="304" spans="1:8" x14ac:dyDescent="0.25">
      <c r="A304" s="2">
        <v>44459</v>
      </c>
      <c r="B304" t="s">
        <v>30</v>
      </c>
      <c r="C304" t="s">
        <v>40</v>
      </c>
      <c r="D304" t="s">
        <v>45</v>
      </c>
      <c r="E304" t="s">
        <v>308</v>
      </c>
      <c r="F304" s="1">
        <v>498.97534034365924</v>
      </c>
      <c r="G304" s="1">
        <v>757.38443651646026</v>
      </c>
      <c r="H304" s="1">
        <f>Table1[[#This Row],[Sales]]-Table1[[#This Row],[ Cost Price]]</f>
        <v>258.40909617280101</v>
      </c>
    </row>
    <row r="305" spans="1:8" x14ac:dyDescent="0.25">
      <c r="A305" s="2">
        <v>44460</v>
      </c>
      <c r="B305" t="s">
        <v>30</v>
      </c>
      <c r="C305" t="s">
        <v>23</v>
      </c>
      <c r="D305" t="s">
        <v>56</v>
      </c>
      <c r="E305" t="s">
        <v>309</v>
      </c>
      <c r="F305" s="1">
        <v>131.18075489348985</v>
      </c>
      <c r="G305" s="1">
        <v>367.69529539387781</v>
      </c>
      <c r="H305" s="1">
        <f>Table1[[#This Row],[Sales]]-Table1[[#This Row],[ Cost Price]]</f>
        <v>236.51454050038797</v>
      </c>
    </row>
    <row r="306" spans="1:8" x14ac:dyDescent="0.25">
      <c r="A306" s="2">
        <v>44826</v>
      </c>
      <c r="B306" t="s">
        <v>30</v>
      </c>
      <c r="C306" t="s">
        <v>10</v>
      </c>
      <c r="D306" t="s">
        <v>11</v>
      </c>
      <c r="E306" t="s">
        <v>252</v>
      </c>
      <c r="F306" s="1">
        <v>239.65510980968051</v>
      </c>
      <c r="G306" s="1">
        <v>443.48192115206626</v>
      </c>
      <c r="H306" s="1">
        <f>Table1[[#This Row],[Sales]]-Table1[[#This Row],[ Cost Price]]</f>
        <v>203.82681134238575</v>
      </c>
    </row>
    <row r="307" spans="1:8" x14ac:dyDescent="0.25">
      <c r="A307" s="2">
        <v>44462</v>
      </c>
      <c r="B307" t="s">
        <v>9</v>
      </c>
      <c r="C307" t="s">
        <v>14</v>
      </c>
      <c r="D307" t="s">
        <v>15</v>
      </c>
      <c r="E307" t="s">
        <v>253</v>
      </c>
      <c r="F307" s="1">
        <v>107.04360925891612</v>
      </c>
      <c r="G307" s="1">
        <v>221.11719060727151</v>
      </c>
      <c r="H307" s="1">
        <f>Table1[[#This Row],[Sales]]-Table1[[#This Row],[ Cost Price]]</f>
        <v>114.07358134835539</v>
      </c>
    </row>
    <row r="308" spans="1:8" x14ac:dyDescent="0.25">
      <c r="A308" s="2">
        <v>44463</v>
      </c>
      <c r="B308" t="s">
        <v>13</v>
      </c>
      <c r="C308" t="s">
        <v>19</v>
      </c>
      <c r="D308" t="s">
        <v>20</v>
      </c>
      <c r="E308" t="s">
        <v>254</v>
      </c>
      <c r="F308" s="1">
        <v>445.82425602703313</v>
      </c>
      <c r="G308" s="1">
        <v>637.67526322721619</v>
      </c>
      <c r="H308" s="1">
        <f>Table1[[#This Row],[Sales]]-Table1[[#This Row],[ Cost Price]]</f>
        <v>191.85100720018306</v>
      </c>
    </row>
    <row r="309" spans="1:8" x14ac:dyDescent="0.25">
      <c r="A309" s="2">
        <v>44829</v>
      </c>
      <c r="B309" t="s">
        <v>18</v>
      </c>
      <c r="C309" t="s">
        <v>27</v>
      </c>
      <c r="D309" t="s">
        <v>28</v>
      </c>
      <c r="E309" t="s">
        <v>255</v>
      </c>
      <c r="F309" s="1">
        <v>35.130224359936648</v>
      </c>
      <c r="G309" s="1">
        <v>111.89074072746602</v>
      </c>
      <c r="H309" s="1">
        <f>Table1[[#This Row],[Sales]]-Table1[[#This Row],[ Cost Price]]</f>
        <v>76.760516367529377</v>
      </c>
    </row>
    <row r="310" spans="1:8" x14ac:dyDescent="0.25">
      <c r="A310" s="2">
        <v>44465</v>
      </c>
      <c r="B310" t="s">
        <v>13</v>
      </c>
      <c r="C310" t="s">
        <v>27</v>
      </c>
      <c r="D310" t="s">
        <v>53</v>
      </c>
      <c r="E310" t="s">
        <v>256</v>
      </c>
      <c r="F310" s="1">
        <v>69.474172640168987</v>
      </c>
      <c r="G310" s="1">
        <v>171.93373441277402</v>
      </c>
      <c r="H310" s="1">
        <f>Table1[[#This Row],[Sales]]-Table1[[#This Row],[ Cost Price]]</f>
        <v>102.45956177260503</v>
      </c>
    </row>
    <row r="311" spans="1:8" x14ac:dyDescent="0.25">
      <c r="A311" s="2">
        <v>44466</v>
      </c>
      <c r="B311" t="s">
        <v>13</v>
      </c>
      <c r="C311" t="s">
        <v>27</v>
      </c>
      <c r="D311" t="s">
        <v>45</v>
      </c>
      <c r="E311" t="s">
        <v>257</v>
      </c>
      <c r="F311" s="1">
        <v>735.92358457919897</v>
      </c>
      <c r="G311" s="1">
        <v>737.02928837665047</v>
      </c>
      <c r="H311" s="1">
        <f>Table1[[#This Row],[Sales]]-Table1[[#This Row],[ Cost Price]]</f>
        <v>1.1057037974514969</v>
      </c>
    </row>
    <row r="312" spans="1:8" x14ac:dyDescent="0.25">
      <c r="A312" s="2">
        <v>44467</v>
      </c>
      <c r="B312" t="s">
        <v>13</v>
      </c>
      <c r="C312" t="s">
        <v>40</v>
      </c>
      <c r="D312" t="s">
        <v>56</v>
      </c>
      <c r="E312" t="s">
        <v>258</v>
      </c>
      <c r="F312" s="1">
        <v>630.80350070344502</v>
      </c>
      <c r="G312" s="1">
        <v>777.47735148569291</v>
      </c>
      <c r="H312" s="1">
        <f>Table1[[#This Row],[Sales]]-Table1[[#This Row],[ Cost Price]]</f>
        <v>146.67385078224788</v>
      </c>
    </row>
    <row r="313" spans="1:8" x14ac:dyDescent="0.25">
      <c r="A313" s="2">
        <v>44833</v>
      </c>
      <c r="B313" t="s">
        <v>13</v>
      </c>
      <c r="C313" t="s">
        <v>23</v>
      </c>
      <c r="D313" t="s">
        <v>11</v>
      </c>
      <c r="E313" t="s">
        <v>259</v>
      </c>
      <c r="F313" s="1">
        <v>230.52605791901496</v>
      </c>
      <c r="G313" s="1">
        <v>325.12054406219562</v>
      </c>
      <c r="H313" s="1">
        <f>Table1[[#This Row],[Sales]]-Table1[[#This Row],[ Cost Price]]</f>
        <v>94.59448614318066</v>
      </c>
    </row>
    <row r="314" spans="1:8" x14ac:dyDescent="0.25">
      <c r="A314" s="2">
        <v>44469</v>
      </c>
      <c r="B314" t="s">
        <v>18</v>
      </c>
      <c r="C314" t="s">
        <v>10</v>
      </c>
      <c r="D314" t="s">
        <v>15</v>
      </c>
      <c r="E314" t="s">
        <v>260</v>
      </c>
      <c r="F314" s="1">
        <v>489.25914483514032</v>
      </c>
      <c r="G314" s="1">
        <v>598.9533124834752</v>
      </c>
      <c r="H314" s="1">
        <f>Table1[[#This Row],[Sales]]-Table1[[#This Row],[ Cost Price]]</f>
        <v>109.69416764833488</v>
      </c>
    </row>
    <row r="315" spans="1:8" x14ac:dyDescent="0.25">
      <c r="A315" s="2">
        <v>44470</v>
      </c>
      <c r="B315" t="s">
        <v>26</v>
      </c>
      <c r="C315" t="s">
        <v>14</v>
      </c>
      <c r="D315" t="s">
        <v>20</v>
      </c>
      <c r="E315" t="s">
        <v>261</v>
      </c>
      <c r="F315" s="1">
        <v>972.55325448866824</v>
      </c>
      <c r="G315" s="1">
        <v>1231.3983951465552</v>
      </c>
      <c r="H315" s="1">
        <f>Table1[[#This Row],[Sales]]-Table1[[#This Row],[ Cost Price]]</f>
        <v>258.84514065788699</v>
      </c>
    </row>
    <row r="316" spans="1:8" x14ac:dyDescent="0.25">
      <c r="A316" s="2">
        <v>44836</v>
      </c>
      <c r="B316" t="s">
        <v>26</v>
      </c>
      <c r="C316" t="s">
        <v>19</v>
      </c>
      <c r="D316" t="s">
        <v>45</v>
      </c>
      <c r="E316" t="s">
        <v>219</v>
      </c>
      <c r="F316" s="1">
        <v>468.02091399062755</v>
      </c>
      <c r="G316" s="1">
        <v>571.39638226383477</v>
      </c>
      <c r="H316" s="1">
        <f>Table1[[#This Row],[Sales]]-Table1[[#This Row],[ Cost Price]]</f>
        <v>103.37546827320722</v>
      </c>
    </row>
    <row r="317" spans="1:8" x14ac:dyDescent="0.25">
      <c r="A317" s="2">
        <v>44472</v>
      </c>
      <c r="B317" t="s">
        <v>26</v>
      </c>
      <c r="C317" t="s">
        <v>27</v>
      </c>
      <c r="D317" t="s">
        <v>56</v>
      </c>
      <c r="E317" t="s">
        <v>220</v>
      </c>
      <c r="F317" s="1">
        <v>1162.4899569157988</v>
      </c>
      <c r="G317" s="1">
        <v>1305.0011969771456</v>
      </c>
      <c r="H317" s="1">
        <f>Table1[[#This Row],[Sales]]-Table1[[#This Row],[ Cost Price]]</f>
        <v>142.51124006134683</v>
      </c>
    </row>
    <row r="318" spans="1:8" x14ac:dyDescent="0.25">
      <c r="A318" s="2">
        <v>44473</v>
      </c>
      <c r="B318" t="s">
        <v>26</v>
      </c>
      <c r="C318" t="s">
        <v>31</v>
      </c>
      <c r="D318" t="s">
        <v>11</v>
      </c>
      <c r="E318" t="s">
        <v>221</v>
      </c>
      <c r="F318" s="1">
        <v>84.854510386819115</v>
      </c>
      <c r="G318" s="1">
        <v>247.06193105031196</v>
      </c>
      <c r="H318" s="1">
        <f>Table1[[#This Row],[Sales]]-Table1[[#This Row],[ Cost Price]]</f>
        <v>162.20742066349283</v>
      </c>
    </row>
    <row r="319" spans="1:8" x14ac:dyDescent="0.25">
      <c r="A319" s="2">
        <v>44474</v>
      </c>
      <c r="B319" t="s">
        <v>26</v>
      </c>
      <c r="C319" t="s">
        <v>31</v>
      </c>
      <c r="D319" t="s">
        <v>15</v>
      </c>
      <c r="E319" t="s">
        <v>47</v>
      </c>
      <c r="F319" s="1">
        <v>686.89730311804783</v>
      </c>
      <c r="G319" s="1">
        <v>806.33384088686216</v>
      </c>
      <c r="H319" s="1">
        <f>Table1[[#This Row],[Sales]]-Table1[[#This Row],[ Cost Price]]</f>
        <v>119.43653776881433</v>
      </c>
    </row>
    <row r="320" spans="1:8" x14ac:dyDescent="0.25">
      <c r="A320" s="2">
        <v>44840</v>
      </c>
      <c r="B320" t="s">
        <v>26</v>
      </c>
      <c r="C320" t="s">
        <v>31</v>
      </c>
      <c r="D320" t="s">
        <v>20</v>
      </c>
      <c r="E320" t="s">
        <v>48</v>
      </c>
      <c r="F320" s="1">
        <v>410.38915925904814</v>
      </c>
      <c r="G320" s="1">
        <v>510.48513640878156</v>
      </c>
      <c r="H320" s="1">
        <f>Table1[[#This Row],[Sales]]-Table1[[#This Row],[ Cost Price]]</f>
        <v>100.09597714973341</v>
      </c>
    </row>
    <row r="321" spans="1:8" x14ac:dyDescent="0.25">
      <c r="A321" s="2">
        <v>44841</v>
      </c>
      <c r="B321" t="s">
        <v>30</v>
      </c>
      <c r="C321" t="s">
        <v>31</v>
      </c>
      <c r="D321" t="s">
        <v>28</v>
      </c>
      <c r="E321" t="s">
        <v>49</v>
      </c>
      <c r="F321" s="1">
        <v>790.83096718845502</v>
      </c>
      <c r="G321" s="1">
        <v>1048.9721326092972</v>
      </c>
      <c r="H321" s="1">
        <f>Table1[[#This Row],[Sales]]-Table1[[#This Row],[ Cost Price]]</f>
        <v>258.14116542084219</v>
      </c>
    </row>
    <row r="322" spans="1:8" x14ac:dyDescent="0.25">
      <c r="A322" s="2">
        <v>44477</v>
      </c>
      <c r="B322" t="s">
        <v>9</v>
      </c>
      <c r="C322" t="s">
        <v>31</v>
      </c>
      <c r="D322" t="s">
        <v>32</v>
      </c>
      <c r="E322" t="s">
        <v>50</v>
      </c>
      <c r="F322" s="1">
        <v>333.57740042990991</v>
      </c>
      <c r="G322" s="1">
        <v>504.8887732421116</v>
      </c>
      <c r="H322" s="1">
        <f>Table1[[#This Row],[Sales]]-Table1[[#This Row],[ Cost Price]]</f>
        <v>171.31137281220168</v>
      </c>
    </row>
    <row r="323" spans="1:8" x14ac:dyDescent="0.25">
      <c r="A323" s="2">
        <v>44478</v>
      </c>
      <c r="B323" t="s">
        <v>13</v>
      </c>
      <c r="C323" t="s">
        <v>31</v>
      </c>
      <c r="D323" t="s">
        <v>36</v>
      </c>
      <c r="E323" t="s">
        <v>222</v>
      </c>
      <c r="F323" s="1">
        <v>509.65226707148548</v>
      </c>
      <c r="G323" s="1">
        <v>542.19562063469766</v>
      </c>
      <c r="H323" s="1">
        <f>Table1[[#This Row],[Sales]]-Table1[[#This Row],[ Cost Price]]</f>
        <v>32.543353563212179</v>
      </c>
    </row>
    <row r="324" spans="1:8" x14ac:dyDescent="0.25">
      <c r="A324" s="2">
        <v>44479</v>
      </c>
      <c r="B324" t="s">
        <v>9</v>
      </c>
      <c r="C324" t="s">
        <v>19</v>
      </c>
      <c r="D324" t="s">
        <v>41</v>
      </c>
      <c r="E324" t="s">
        <v>228</v>
      </c>
      <c r="F324" s="1">
        <v>642.5710926454783</v>
      </c>
      <c r="G324" s="1">
        <v>733.66885953068549</v>
      </c>
      <c r="H324" s="1">
        <f>Table1[[#This Row],[Sales]]-Table1[[#This Row],[ Cost Price]]</f>
        <v>91.097766885207193</v>
      </c>
    </row>
    <row r="325" spans="1:8" x14ac:dyDescent="0.25">
      <c r="A325" s="2">
        <v>44480</v>
      </c>
      <c r="B325" t="s">
        <v>9</v>
      </c>
      <c r="C325" t="s">
        <v>27</v>
      </c>
      <c r="D325" t="s">
        <v>43</v>
      </c>
      <c r="E325" t="s">
        <v>229</v>
      </c>
      <c r="F325" s="1">
        <v>222.23485471598133</v>
      </c>
      <c r="G325" s="1">
        <v>383.80802260352448</v>
      </c>
      <c r="H325" s="1">
        <f>Table1[[#This Row],[Sales]]-Table1[[#This Row],[ Cost Price]]</f>
        <v>161.57316788754315</v>
      </c>
    </row>
    <row r="326" spans="1:8" x14ac:dyDescent="0.25">
      <c r="A326" s="2">
        <v>44846</v>
      </c>
      <c r="B326" t="s">
        <v>9</v>
      </c>
      <c r="C326" t="s">
        <v>31</v>
      </c>
      <c r="D326" t="s">
        <v>51</v>
      </c>
      <c r="E326" t="s">
        <v>230</v>
      </c>
      <c r="F326" s="1">
        <v>345.54393499453215</v>
      </c>
      <c r="G326" s="1">
        <v>426.05589432925348</v>
      </c>
      <c r="H326" s="1">
        <f>Table1[[#This Row],[Sales]]-Table1[[#This Row],[ Cost Price]]</f>
        <v>80.511959334721325</v>
      </c>
    </row>
    <row r="327" spans="1:8" x14ac:dyDescent="0.25">
      <c r="A327" s="2">
        <v>44482</v>
      </c>
      <c r="B327" t="s">
        <v>9</v>
      </c>
      <c r="C327" t="s">
        <v>35</v>
      </c>
      <c r="D327" t="s">
        <v>53</v>
      </c>
      <c r="E327" t="s">
        <v>231</v>
      </c>
      <c r="F327" s="1">
        <v>205.55300406361059</v>
      </c>
      <c r="G327" s="1">
        <v>448.88434923528905</v>
      </c>
      <c r="H327" s="1">
        <f>Table1[[#This Row],[Sales]]-Table1[[#This Row],[ Cost Price]]</f>
        <v>243.33134517167846</v>
      </c>
    </row>
    <row r="328" spans="1:8" x14ac:dyDescent="0.25">
      <c r="A328" s="2">
        <v>44483</v>
      </c>
      <c r="B328" t="s">
        <v>13</v>
      </c>
      <c r="C328" t="s">
        <v>40</v>
      </c>
      <c r="D328" t="s">
        <v>45</v>
      </c>
      <c r="E328" t="s">
        <v>232</v>
      </c>
      <c r="F328" s="1">
        <v>427.6876666550699</v>
      </c>
      <c r="G328" s="1">
        <v>532.24596071326164</v>
      </c>
      <c r="H328" s="1">
        <f>Table1[[#This Row],[Sales]]-Table1[[#This Row],[ Cost Price]]</f>
        <v>104.55829405819173</v>
      </c>
    </row>
    <row r="329" spans="1:8" x14ac:dyDescent="0.25">
      <c r="A329" s="2">
        <v>44484</v>
      </c>
      <c r="B329" t="s">
        <v>18</v>
      </c>
      <c r="C329" t="s">
        <v>40</v>
      </c>
      <c r="D329" t="s">
        <v>56</v>
      </c>
      <c r="E329" t="s">
        <v>233</v>
      </c>
      <c r="F329" s="1">
        <v>757.30970850126698</v>
      </c>
      <c r="G329" s="1">
        <v>812.19577656559466</v>
      </c>
      <c r="H329" s="1">
        <f>Table1[[#This Row],[Sales]]-Table1[[#This Row],[ Cost Price]]</f>
        <v>54.886068064327674</v>
      </c>
    </row>
    <row r="330" spans="1:8" x14ac:dyDescent="0.25">
      <c r="A330" s="2">
        <v>44485</v>
      </c>
      <c r="B330" t="s">
        <v>26</v>
      </c>
      <c r="C330" t="s">
        <v>40</v>
      </c>
      <c r="D330" t="s">
        <v>11</v>
      </c>
      <c r="E330" t="s">
        <v>201</v>
      </c>
      <c r="F330" s="1">
        <v>64.333722413176318</v>
      </c>
      <c r="G330" s="1">
        <v>105.66865825546313</v>
      </c>
      <c r="H330" s="1">
        <f>Table1[[#This Row],[Sales]]-Table1[[#This Row],[ Cost Price]]</f>
        <v>41.334935842286811</v>
      </c>
    </row>
    <row r="331" spans="1:8" x14ac:dyDescent="0.25">
      <c r="A331" s="2">
        <v>44851</v>
      </c>
      <c r="B331" t="s">
        <v>26</v>
      </c>
      <c r="C331" t="s">
        <v>40</v>
      </c>
      <c r="D331" t="s">
        <v>15</v>
      </c>
      <c r="E331" t="s">
        <v>202</v>
      </c>
      <c r="F331" s="1">
        <v>331.44265869149712</v>
      </c>
      <c r="G331" s="1">
        <v>553.65638003477204</v>
      </c>
      <c r="H331" s="1">
        <f>Table1[[#This Row],[Sales]]-Table1[[#This Row],[ Cost Price]]</f>
        <v>222.21372134327493</v>
      </c>
    </row>
    <row r="332" spans="1:8" x14ac:dyDescent="0.25">
      <c r="A332" s="2">
        <v>44487</v>
      </c>
      <c r="B332" t="s">
        <v>26</v>
      </c>
      <c r="C332" t="s">
        <v>40</v>
      </c>
      <c r="D332" t="s">
        <v>20</v>
      </c>
      <c r="E332" t="s">
        <v>203</v>
      </c>
      <c r="F332" s="1">
        <v>102.54312920180493</v>
      </c>
      <c r="G332" s="1">
        <v>153.89436516581773</v>
      </c>
      <c r="H332" s="1">
        <f>Table1[[#This Row],[Sales]]-Table1[[#This Row],[ Cost Price]]</f>
        <v>51.351235964012801</v>
      </c>
    </row>
    <row r="333" spans="1:8" x14ac:dyDescent="0.25">
      <c r="A333" s="2">
        <v>44853</v>
      </c>
      <c r="B333" t="s">
        <v>26</v>
      </c>
      <c r="C333" t="s">
        <v>40</v>
      </c>
      <c r="D333" t="s">
        <v>36</v>
      </c>
      <c r="E333" t="s">
        <v>204</v>
      </c>
      <c r="F333" s="1">
        <v>535.04250194076178</v>
      </c>
      <c r="G333" s="1">
        <v>748.32943084151236</v>
      </c>
      <c r="H333" s="1">
        <f>Table1[[#This Row],[Sales]]-Table1[[#This Row],[ Cost Price]]</f>
        <v>213.28692890075058</v>
      </c>
    </row>
    <row r="334" spans="1:8" x14ac:dyDescent="0.25">
      <c r="A334" s="2">
        <v>44489</v>
      </c>
      <c r="B334" t="s">
        <v>18</v>
      </c>
      <c r="C334" t="s">
        <v>31</v>
      </c>
      <c r="D334" t="s">
        <v>41</v>
      </c>
      <c r="E334" t="s">
        <v>205</v>
      </c>
      <c r="F334" s="1">
        <v>235.1827406215738</v>
      </c>
      <c r="G334" s="1">
        <v>414.83804155350731</v>
      </c>
      <c r="H334" s="1">
        <f>Table1[[#This Row],[Sales]]-Table1[[#This Row],[ Cost Price]]</f>
        <v>179.65530093193351</v>
      </c>
    </row>
    <row r="335" spans="1:8" x14ac:dyDescent="0.25">
      <c r="A335" s="2">
        <v>44490</v>
      </c>
      <c r="B335" t="s">
        <v>26</v>
      </c>
      <c r="C335" t="s">
        <v>35</v>
      </c>
      <c r="D335" t="s">
        <v>43</v>
      </c>
      <c r="E335" t="s">
        <v>206</v>
      </c>
      <c r="F335" s="1">
        <v>1033.626646211939</v>
      </c>
      <c r="G335" s="1">
        <v>1102.3854567179651</v>
      </c>
      <c r="H335" s="1">
        <f>Table1[[#This Row],[Sales]]-Table1[[#This Row],[ Cost Price]]</f>
        <v>68.758810506026066</v>
      </c>
    </row>
    <row r="336" spans="1:8" x14ac:dyDescent="0.25">
      <c r="A336" s="2">
        <v>44491</v>
      </c>
      <c r="B336" t="s">
        <v>30</v>
      </c>
      <c r="C336" t="s">
        <v>40</v>
      </c>
      <c r="D336" t="s">
        <v>51</v>
      </c>
      <c r="E336" t="s">
        <v>207</v>
      </c>
      <c r="F336" s="1">
        <v>233.61176019594362</v>
      </c>
      <c r="G336" s="1">
        <v>363.98798548404352</v>
      </c>
      <c r="H336" s="1">
        <f>Table1[[#This Row],[Sales]]-Table1[[#This Row],[ Cost Price]]</f>
        <v>130.3762252880999</v>
      </c>
    </row>
    <row r="337" spans="1:8" x14ac:dyDescent="0.25">
      <c r="A337" s="2">
        <v>44857</v>
      </c>
      <c r="B337" t="s">
        <v>9</v>
      </c>
      <c r="C337" t="s">
        <v>23</v>
      </c>
      <c r="D337" t="s">
        <v>53</v>
      </c>
      <c r="E337" t="s">
        <v>208</v>
      </c>
      <c r="F337" s="1">
        <v>171.75759319636072</v>
      </c>
      <c r="G337" s="1">
        <v>270.11592358521716</v>
      </c>
      <c r="H337" s="1">
        <f>Table1[[#This Row],[Sales]]-Table1[[#This Row],[ Cost Price]]</f>
        <v>98.358330388856444</v>
      </c>
    </row>
    <row r="338" spans="1:8" x14ac:dyDescent="0.25">
      <c r="A338" s="2">
        <v>44493</v>
      </c>
      <c r="B338" t="s">
        <v>30</v>
      </c>
      <c r="C338" t="s">
        <v>10</v>
      </c>
      <c r="D338" t="s">
        <v>45</v>
      </c>
      <c r="E338" t="s">
        <v>209</v>
      </c>
      <c r="F338" s="1">
        <v>327.51083287707473</v>
      </c>
      <c r="G338" s="1">
        <v>400.36562789477586</v>
      </c>
      <c r="H338" s="1">
        <f>Table1[[#This Row],[Sales]]-Table1[[#This Row],[ Cost Price]]</f>
        <v>72.854795017701122</v>
      </c>
    </row>
    <row r="339" spans="1:8" x14ac:dyDescent="0.25">
      <c r="A339" s="2">
        <v>44859</v>
      </c>
      <c r="B339" t="s">
        <v>30</v>
      </c>
      <c r="C339" t="s">
        <v>14</v>
      </c>
      <c r="D339" t="s">
        <v>56</v>
      </c>
      <c r="E339" t="s">
        <v>210</v>
      </c>
      <c r="F339" s="1">
        <v>195.4800488004677</v>
      </c>
      <c r="G339" s="1">
        <v>261.48182532071132</v>
      </c>
      <c r="H339" s="1">
        <f>Table1[[#This Row],[Sales]]-Table1[[#This Row],[ Cost Price]]</f>
        <v>66.001776520243624</v>
      </c>
    </row>
    <row r="340" spans="1:8" x14ac:dyDescent="0.25">
      <c r="A340" s="2">
        <v>44495</v>
      </c>
      <c r="B340" t="s">
        <v>30</v>
      </c>
      <c r="C340" t="s">
        <v>31</v>
      </c>
      <c r="D340" t="s">
        <v>11</v>
      </c>
      <c r="E340" t="s">
        <v>211</v>
      </c>
      <c r="F340" s="1">
        <v>762.64026951958522</v>
      </c>
      <c r="G340" s="1">
        <v>958.29512177749552</v>
      </c>
      <c r="H340" s="1">
        <f>Table1[[#This Row],[Sales]]-Table1[[#This Row],[ Cost Price]]</f>
        <v>195.65485225791031</v>
      </c>
    </row>
    <row r="341" spans="1:8" x14ac:dyDescent="0.25">
      <c r="A341" s="2">
        <v>44496</v>
      </c>
      <c r="B341" t="s">
        <v>30</v>
      </c>
      <c r="C341" t="s">
        <v>31</v>
      </c>
      <c r="D341" t="s">
        <v>15</v>
      </c>
      <c r="E341" t="s">
        <v>212</v>
      </c>
      <c r="F341" s="1">
        <v>127.96955576554717</v>
      </c>
      <c r="G341" s="1">
        <v>338.83783169185824</v>
      </c>
      <c r="H341" s="1">
        <f>Table1[[#This Row],[Sales]]-Table1[[#This Row],[ Cost Price]]</f>
        <v>210.86827592631107</v>
      </c>
    </row>
    <row r="342" spans="1:8" x14ac:dyDescent="0.25">
      <c r="A342" s="2">
        <v>44497</v>
      </c>
      <c r="B342" t="s">
        <v>9</v>
      </c>
      <c r="C342" t="s">
        <v>31</v>
      </c>
      <c r="D342" t="s">
        <v>20</v>
      </c>
      <c r="E342" t="s">
        <v>213</v>
      </c>
      <c r="F342" s="1">
        <v>388.58778836530638</v>
      </c>
      <c r="G342" s="1">
        <v>433.14505588872277</v>
      </c>
      <c r="H342" s="1">
        <f>Table1[[#This Row],[Sales]]-Table1[[#This Row],[ Cost Price]]</f>
        <v>44.557267523416385</v>
      </c>
    </row>
    <row r="343" spans="1:8" x14ac:dyDescent="0.25">
      <c r="A343" s="2">
        <v>44863</v>
      </c>
      <c r="B343" t="s">
        <v>13</v>
      </c>
      <c r="C343" t="s">
        <v>35</v>
      </c>
      <c r="D343" t="s">
        <v>36</v>
      </c>
      <c r="E343" t="s">
        <v>101</v>
      </c>
      <c r="F343" s="1">
        <v>5.6537230077388143</v>
      </c>
      <c r="G343" s="1">
        <v>89.178198463715958</v>
      </c>
      <c r="H343" s="1">
        <f>Table1[[#This Row],[Sales]]-Table1[[#This Row],[ Cost Price]]</f>
        <v>83.524475455977139</v>
      </c>
    </row>
    <row r="344" spans="1:8" x14ac:dyDescent="0.25">
      <c r="A344" s="2">
        <v>44499</v>
      </c>
      <c r="B344" t="s">
        <v>18</v>
      </c>
      <c r="C344" t="s">
        <v>40</v>
      </c>
      <c r="D344" t="s">
        <v>41</v>
      </c>
      <c r="E344" t="s">
        <v>103</v>
      </c>
      <c r="F344" s="1">
        <v>287.19263161304093</v>
      </c>
      <c r="G344" s="1">
        <v>418.5167438254208</v>
      </c>
      <c r="H344" s="1">
        <f>Table1[[#This Row],[Sales]]-Table1[[#This Row],[ Cost Price]]</f>
        <v>131.32411221237987</v>
      </c>
    </row>
    <row r="345" spans="1:8" x14ac:dyDescent="0.25">
      <c r="A345" s="2">
        <v>44500</v>
      </c>
      <c r="B345" t="s">
        <v>26</v>
      </c>
      <c r="C345" t="s">
        <v>23</v>
      </c>
      <c r="D345" t="s">
        <v>43</v>
      </c>
      <c r="E345" t="s">
        <v>104</v>
      </c>
      <c r="F345" s="1">
        <v>729.79051548418306</v>
      </c>
      <c r="G345" s="1">
        <v>827.95555014866102</v>
      </c>
      <c r="H345" s="1">
        <f>Table1[[#This Row],[Sales]]-Table1[[#This Row],[ Cost Price]]</f>
        <v>98.165034664477957</v>
      </c>
    </row>
    <row r="346" spans="1:8" x14ac:dyDescent="0.25">
      <c r="A346" s="2">
        <v>44501</v>
      </c>
      <c r="B346" t="s">
        <v>30</v>
      </c>
      <c r="C346" t="s">
        <v>10</v>
      </c>
      <c r="D346" t="s">
        <v>51</v>
      </c>
      <c r="E346" t="s">
        <v>105</v>
      </c>
      <c r="F346" s="1">
        <v>472.28316410715428</v>
      </c>
      <c r="G346" s="1">
        <v>639.53343538479726</v>
      </c>
      <c r="H346" s="1">
        <f>Table1[[#This Row],[Sales]]-Table1[[#This Row],[ Cost Price]]</f>
        <v>167.25027127764298</v>
      </c>
    </row>
    <row r="347" spans="1:8" x14ac:dyDescent="0.25">
      <c r="A347" s="2">
        <v>44502</v>
      </c>
      <c r="B347" t="s">
        <v>9</v>
      </c>
      <c r="C347" t="s">
        <v>14</v>
      </c>
      <c r="D347" t="s">
        <v>53</v>
      </c>
      <c r="E347" t="s">
        <v>106</v>
      </c>
      <c r="F347" s="1">
        <v>574.80051413591264</v>
      </c>
      <c r="G347" s="1">
        <v>587.67341968917992</v>
      </c>
      <c r="H347" s="1">
        <f>Table1[[#This Row],[Sales]]-Table1[[#This Row],[ Cost Price]]</f>
        <v>12.872905553267287</v>
      </c>
    </row>
    <row r="348" spans="1:8" x14ac:dyDescent="0.25">
      <c r="A348" s="2">
        <v>44868</v>
      </c>
      <c r="B348" t="s">
        <v>13</v>
      </c>
      <c r="C348" t="s">
        <v>19</v>
      </c>
      <c r="D348" t="s">
        <v>45</v>
      </c>
      <c r="E348" t="s">
        <v>107</v>
      </c>
      <c r="F348" s="1">
        <v>335.46852377193767</v>
      </c>
      <c r="G348" s="1">
        <v>442.06243038170373</v>
      </c>
      <c r="H348" s="1">
        <f>Table1[[#This Row],[Sales]]-Table1[[#This Row],[ Cost Price]]</f>
        <v>106.59390660976607</v>
      </c>
    </row>
    <row r="349" spans="1:8" x14ac:dyDescent="0.25">
      <c r="A349" s="2">
        <v>44504</v>
      </c>
      <c r="B349" t="s">
        <v>18</v>
      </c>
      <c r="C349" t="s">
        <v>27</v>
      </c>
      <c r="D349" t="s">
        <v>56</v>
      </c>
      <c r="E349" t="s">
        <v>108</v>
      </c>
      <c r="F349" s="1">
        <v>496.46501789674005</v>
      </c>
      <c r="G349" s="1">
        <v>620.52071671223177</v>
      </c>
      <c r="H349" s="1">
        <f>Table1[[#This Row],[Sales]]-Table1[[#This Row],[ Cost Price]]</f>
        <v>124.05569881549172</v>
      </c>
    </row>
    <row r="350" spans="1:8" x14ac:dyDescent="0.25">
      <c r="A350" s="2">
        <v>44505</v>
      </c>
      <c r="B350" t="s">
        <v>18</v>
      </c>
      <c r="C350" t="s">
        <v>31</v>
      </c>
      <c r="D350" t="s">
        <v>11</v>
      </c>
      <c r="E350" t="s">
        <v>109</v>
      </c>
      <c r="F350" s="1">
        <v>156.27019951716156</v>
      </c>
      <c r="G350" s="1">
        <v>249.72837549704911</v>
      </c>
      <c r="H350" s="1">
        <f>Table1[[#This Row],[Sales]]-Table1[[#This Row],[ Cost Price]]</f>
        <v>93.458175979887557</v>
      </c>
    </row>
    <row r="351" spans="1:8" x14ac:dyDescent="0.25">
      <c r="A351" s="2">
        <v>44506</v>
      </c>
      <c r="B351" t="s">
        <v>18</v>
      </c>
      <c r="C351" t="s">
        <v>31</v>
      </c>
      <c r="D351" t="s">
        <v>15</v>
      </c>
      <c r="E351" t="s">
        <v>110</v>
      </c>
      <c r="F351" s="1">
        <v>50.83667529320477</v>
      </c>
      <c r="G351" s="1">
        <v>89.822539878965415</v>
      </c>
      <c r="H351" s="1">
        <f>Table1[[#This Row],[Sales]]-Table1[[#This Row],[ Cost Price]]</f>
        <v>38.985864585760645</v>
      </c>
    </row>
    <row r="352" spans="1:8" x14ac:dyDescent="0.25">
      <c r="A352" s="2">
        <v>44507</v>
      </c>
      <c r="B352" t="s">
        <v>18</v>
      </c>
      <c r="C352" t="s">
        <v>31</v>
      </c>
      <c r="D352" t="s">
        <v>20</v>
      </c>
      <c r="E352" t="s">
        <v>111</v>
      </c>
      <c r="F352" s="1">
        <v>594.56390211847065</v>
      </c>
      <c r="G352" s="1">
        <v>692.81979679856283</v>
      </c>
      <c r="H352" s="1">
        <f>Table1[[#This Row],[Sales]]-Table1[[#This Row],[ Cost Price]]</f>
        <v>98.255894680092183</v>
      </c>
    </row>
    <row r="353" spans="1:8" x14ac:dyDescent="0.25">
      <c r="A353" s="2">
        <v>44508</v>
      </c>
      <c r="B353" t="s">
        <v>18</v>
      </c>
      <c r="C353" t="s">
        <v>31</v>
      </c>
      <c r="D353" t="s">
        <v>45</v>
      </c>
      <c r="E353" t="s">
        <v>112</v>
      </c>
      <c r="F353" s="1">
        <v>479.68959285643444</v>
      </c>
      <c r="G353" s="1">
        <v>591.18613844777201</v>
      </c>
      <c r="H353" s="1">
        <f>Table1[[#This Row],[Sales]]-Table1[[#This Row],[ Cost Price]]</f>
        <v>111.49654559133756</v>
      </c>
    </row>
    <row r="354" spans="1:8" x14ac:dyDescent="0.25">
      <c r="A354" s="2">
        <v>44874</v>
      </c>
      <c r="B354" t="s">
        <v>18</v>
      </c>
      <c r="C354" t="s">
        <v>31</v>
      </c>
      <c r="D354" t="s">
        <v>56</v>
      </c>
      <c r="E354" t="s">
        <v>113</v>
      </c>
      <c r="F354" s="1">
        <v>570.22182782517268</v>
      </c>
      <c r="G354" s="1">
        <v>710.34361944243221</v>
      </c>
      <c r="H354" s="1">
        <f>Table1[[#This Row],[Sales]]-Table1[[#This Row],[ Cost Price]]</f>
        <v>140.12179161725953</v>
      </c>
    </row>
    <row r="355" spans="1:8" x14ac:dyDescent="0.25">
      <c r="A355" s="2">
        <v>44510</v>
      </c>
      <c r="B355" t="s">
        <v>26</v>
      </c>
      <c r="C355" t="s">
        <v>31</v>
      </c>
      <c r="D355" t="s">
        <v>11</v>
      </c>
      <c r="E355" t="s">
        <v>114</v>
      </c>
      <c r="F355" s="1">
        <v>648.42115714950296</v>
      </c>
      <c r="G355" s="1">
        <v>698.29871358086154</v>
      </c>
      <c r="H355" s="1">
        <f>Table1[[#This Row],[Sales]]-Table1[[#This Row],[ Cost Price]]</f>
        <v>49.877556431358585</v>
      </c>
    </row>
    <row r="356" spans="1:8" x14ac:dyDescent="0.25">
      <c r="A356" s="2">
        <v>44511</v>
      </c>
      <c r="B356" t="s">
        <v>30</v>
      </c>
      <c r="C356" t="s">
        <v>31</v>
      </c>
      <c r="D356" t="s">
        <v>15</v>
      </c>
      <c r="E356" t="s">
        <v>115</v>
      </c>
      <c r="F356" s="1">
        <v>1075.8324866472115</v>
      </c>
      <c r="G356" s="1">
        <v>1287.0091493479838</v>
      </c>
      <c r="H356" s="1">
        <f>Table1[[#This Row],[Sales]]-Table1[[#This Row],[ Cost Price]]</f>
        <v>211.17666270077234</v>
      </c>
    </row>
    <row r="357" spans="1:8" x14ac:dyDescent="0.25">
      <c r="A357" s="2">
        <v>44877</v>
      </c>
      <c r="B357" t="s">
        <v>30</v>
      </c>
      <c r="C357" t="s">
        <v>27</v>
      </c>
      <c r="D357" t="s">
        <v>20</v>
      </c>
      <c r="E357" t="s">
        <v>116</v>
      </c>
      <c r="F357" s="1">
        <v>676.32344428967247</v>
      </c>
      <c r="G357" s="1">
        <v>859.5211349852143</v>
      </c>
      <c r="H357" s="1">
        <f>Table1[[#This Row],[Sales]]-Table1[[#This Row],[ Cost Price]]</f>
        <v>183.19769069554184</v>
      </c>
    </row>
    <row r="358" spans="1:8" x14ac:dyDescent="0.25">
      <c r="A358" s="2">
        <v>44513</v>
      </c>
      <c r="B358" t="s">
        <v>30</v>
      </c>
      <c r="C358" t="s">
        <v>31</v>
      </c>
      <c r="D358" t="s">
        <v>45</v>
      </c>
      <c r="E358" t="s">
        <v>44</v>
      </c>
      <c r="F358" s="1">
        <v>909.51359882237318</v>
      </c>
      <c r="G358" s="1">
        <v>1006.1172232338438</v>
      </c>
      <c r="H358" s="1">
        <f>Table1[[#This Row],[Sales]]-Table1[[#This Row],[ Cost Price]]</f>
        <v>96.603624411470605</v>
      </c>
    </row>
    <row r="359" spans="1:8" x14ac:dyDescent="0.25">
      <c r="A359" s="2">
        <v>44514</v>
      </c>
      <c r="B359" t="s">
        <v>30</v>
      </c>
      <c r="C359" t="s">
        <v>35</v>
      </c>
      <c r="D359" t="s">
        <v>36</v>
      </c>
      <c r="E359" t="s">
        <v>52</v>
      </c>
      <c r="F359" s="1">
        <v>491.36360406785997</v>
      </c>
      <c r="G359" s="1">
        <v>652.27894249871781</v>
      </c>
      <c r="H359" s="1">
        <f>Table1[[#This Row],[Sales]]-Table1[[#This Row],[ Cost Price]]</f>
        <v>160.91533843085784</v>
      </c>
    </row>
    <row r="360" spans="1:8" x14ac:dyDescent="0.25">
      <c r="A360" s="2">
        <v>44515</v>
      </c>
      <c r="B360" t="s">
        <v>30</v>
      </c>
      <c r="C360" t="s">
        <v>40</v>
      </c>
      <c r="D360" t="s">
        <v>41</v>
      </c>
      <c r="E360" t="s">
        <v>54</v>
      </c>
      <c r="F360" s="1">
        <v>826.23327454454886</v>
      </c>
      <c r="G360" s="1">
        <v>835.34251417555924</v>
      </c>
      <c r="H360" s="1">
        <f>Table1[[#This Row],[Sales]]-Table1[[#This Row],[ Cost Price]]</f>
        <v>9.1092396310103823</v>
      </c>
    </row>
    <row r="361" spans="1:8" x14ac:dyDescent="0.25">
      <c r="A361" s="2">
        <v>44881</v>
      </c>
      <c r="B361" t="s">
        <v>30</v>
      </c>
      <c r="C361" t="s">
        <v>23</v>
      </c>
      <c r="D361" t="s">
        <v>43</v>
      </c>
      <c r="E361" t="s">
        <v>55</v>
      </c>
      <c r="F361" s="1">
        <v>742.72156851968907</v>
      </c>
      <c r="G361" s="1">
        <v>849.08405719938833</v>
      </c>
      <c r="H361" s="1">
        <f>Table1[[#This Row],[Sales]]-Table1[[#This Row],[ Cost Price]]</f>
        <v>106.36248867969925</v>
      </c>
    </row>
    <row r="362" spans="1:8" x14ac:dyDescent="0.25">
      <c r="A362" s="2">
        <v>44882</v>
      </c>
      <c r="B362" t="s">
        <v>9</v>
      </c>
      <c r="C362" t="s">
        <v>10</v>
      </c>
      <c r="D362" t="s">
        <v>15</v>
      </c>
      <c r="E362" t="s">
        <v>57</v>
      </c>
      <c r="F362" s="1">
        <v>223.64141585366002</v>
      </c>
      <c r="G362" s="1">
        <v>371.52389239019789</v>
      </c>
      <c r="H362" s="1">
        <f>Table1[[#This Row],[Sales]]-Table1[[#This Row],[ Cost Price]]</f>
        <v>147.88247653653787</v>
      </c>
    </row>
    <row r="363" spans="1:8" x14ac:dyDescent="0.25">
      <c r="A363" s="2">
        <v>44883</v>
      </c>
      <c r="B363" t="s">
        <v>13</v>
      </c>
      <c r="C363" t="s">
        <v>14</v>
      </c>
      <c r="D363" t="s">
        <v>20</v>
      </c>
      <c r="E363" t="s">
        <v>65</v>
      </c>
      <c r="F363" s="1">
        <v>103.42398466233685</v>
      </c>
      <c r="G363" s="1">
        <v>304.35911196936877</v>
      </c>
      <c r="H363" s="1">
        <f>Table1[[#This Row],[Sales]]-Table1[[#This Row],[ Cost Price]]</f>
        <v>200.93512730703191</v>
      </c>
    </row>
    <row r="364" spans="1:8" x14ac:dyDescent="0.25">
      <c r="A364" s="2">
        <v>44884</v>
      </c>
      <c r="B364" t="s">
        <v>18</v>
      </c>
      <c r="C364" t="s">
        <v>19</v>
      </c>
      <c r="D364" t="s">
        <v>45</v>
      </c>
      <c r="E364" t="s">
        <v>67</v>
      </c>
      <c r="F364" s="1">
        <v>1022.3706567278625</v>
      </c>
      <c r="G364" s="1">
        <v>1040.7937525309769</v>
      </c>
      <c r="H364" s="1">
        <f>Table1[[#This Row],[Sales]]-Table1[[#This Row],[ Cost Price]]</f>
        <v>18.423095803114393</v>
      </c>
    </row>
    <row r="365" spans="1:8" x14ac:dyDescent="0.25">
      <c r="A365" s="2">
        <v>44885</v>
      </c>
      <c r="B365" t="s">
        <v>26</v>
      </c>
      <c r="C365" t="s">
        <v>19</v>
      </c>
      <c r="D365" t="s">
        <v>36</v>
      </c>
      <c r="E365" t="s">
        <v>69</v>
      </c>
      <c r="F365" s="1">
        <v>860.12082496399432</v>
      </c>
      <c r="G365" s="1">
        <v>877.22207289822609</v>
      </c>
      <c r="H365" s="1">
        <f>Table1[[#This Row],[Sales]]-Table1[[#This Row],[ Cost Price]]</f>
        <v>17.101247934231765</v>
      </c>
    </row>
    <row r="366" spans="1:8" x14ac:dyDescent="0.25">
      <c r="A366" s="2">
        <v>44886</v>
      </c>
      <c r="B366" t="s">
        <v>18</v>
      </c>
      <c r="C366" t="s">
        <v>19</v>
      </c>
      <c r="D366" t="s">
        <v>41</v>
      </c>
      <c r="E366" t="s">
        <v>25</v>
      </c>
      <c r="F366" s="1">
        <v>586.52920516637005</v>
      </c>
      <c r="G366" s="1">
        <v>850.81424500923117</v>
      </c>
      <c r="H366" s="1">
        <f>Table1[[#This Row],[Sales]]-Table1[[#This Row],[ Cost Price]]</f>
        <v>264.28503984286112</v>
      </c>
    </row>
    <row r="367" spans="1:8" x14ac:dyDescent="0.25">
      <c r="A367" s="2">
        <v>44887</v>
      </c>
      <c r="B367" t="s">
        <v>18</v>
      </c>
      <c r="C367" t="s">
        <v>19</v>
      </c>
      <c r="D367" t="s">
        <v>43</v>
      </c>
      <c r="E367" t="s">
        <v>70</v>
      </c>
      <c r="F367" s="1">
        <v>215.98075155943286</v>
      </c>
      <c r="G367" s="1">
        <v>423.98742225053093</v>
      </c>
      <c r="H367" s="1">
        <f>Table1[[#This Row],[Sales]]-Table1[[#This Row],[ Cost Price]]</f>
        <v>208.00667069109807</v>
      </c>
    </row>
    <row r="368" spans="1:8" x14ac:dyDescent="0.25">
      <c r="A368" s="2">
        <v>44888</v>
      </c>
      <c r="B368" t="s">
        <v>18</v>
      </c>
      <c r="C368" t="s">
        <v>19</v>
      </c>
      <c r="D368" t="s">
        <v>15</v>
      </c>
      <c r="E368" t="s">
        <v>71</v>
      </c>
      <c r="F368" s="1">
        <v>312.14282533283205</v>
      </c>
      <c r="G368" s="1">
        <v>535.01920721656859</v>
      </c>
      <c r="H368" s="1">
        <f>Table1[[#This Row],[Sales]]-Table1[[#This Row],[ Cost Price]]</f>
        <v>222.87638188373654</v>
      </c>
    </row>
    <row r="369" spans="1:8" x14ac:dyDescent="0.25">
      <c r="A369" s="2">
        <v>44524</v>
      </c>
      <c r="B369" t="s">
        <v>18</v>
      </c>
      <c r="C369" t="s">
        <v>19</v>
      </c>
      <c r="D369" t="s">
        <v>20</v>
      </c>
      <c r="E369" t="s">
        <v>72</v>
      </c>
      <c r="F369" s="1">
        <v>354.04887705059423</v>
      </c>
      <c r="G369" s="1">
        <v>624.29805758244504</v>
      </c>
      <c r="H369" s="1">
        <f>Table1[[#This Row],[Sales]]-Table1[[#This Row],[ Cost Price]]</f>
        <v>270.24918053185081</v>
      </c>
    </row>
    <row r="370" spans="1:8" x14ac:dyDescent="0.25">
      <c r="A370" s="2">
        <v>44525</v>
      </c>
      <c r="B370" t="s">
        <v>26</v>
      </c>
      <c r="C370" t="s">
        <v>10</v>
      </c>
      <c r="D370" t="s">
        <v>45</v>
      </c>
      <c r="E370" t="s">
        <v>73</v>
      </c>
      <c r="F370" s="1">
        <v>631.31172709914711</v>
      </c>
      <c r="G370" s="1">
        <v>799.94811177777922</v>
      </c>
      <c r="H370" s="1">
        <f>Table1[[#This Row],[Sales]]-Table1[[#This Row],[ Cost Price]]</f>
        <v>168.63638467863211</v>
      </c>
    </row>
    <row r="371" spans="1:8" x14ac:dyDescent="0.25">
      <c r="A371" s="2">
        <v>44526</v>
      </c>
      <c r="B371" t="s">
        <v>30</v>
      </c>
      <c r="C371" t="s">
        <v>14</v>
      </c>
      <c r="D371" t="s">
        <v>36</v>
      </c>
      <c r="E371" t="s">
        <v>67</v>
      </c>
      <c r="F371" s="1">
        <v>473.83443840210299</v>
      </c>
      <c r="G371" s="1">
        <v>511.68786114059384</v>
      </c>
      <c r="H371" s="1">
        <f>Table1[[#This Row],[Sales]]-Table1[[#This Row],[ Cost Price]]</f>
        <v>37.853422738490849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Asad Ali</dc:creator>
  <cp:lastModifiedBy>M Asad Ali</cp:lastModifiedBy>
  <dcterms:created xsi:type="dcterms:W3CDTF">2025-05-02T13:09:10Z</dcterms:created>
  <dcterms:modified xsi:type="dcterms:W3CDTF">2025-05-02T13:10:24Z</dcterms:modified>
</cp:coreProperties>
</file>